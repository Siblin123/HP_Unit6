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61.54955"/>
  <workbookPr/>
  <bookViews>
    <workbookView xWindow="360" yWindow="30" windowWidth="25755" windowHeight="11595" tabRatio="590" activeTab="0"/>
  </bookViews>
  <sheets>
    <sheet name="표" sheetId="1" r:id="rId1"/>
    <sheet name="Sheet2" sheetId="2" r:id="rId2"/>
  </sheets>
  <definedNames/>
  <calcPr calcId="152511"/>
</workbook>
</file>

<file path=xl/sharedStrings.xml><?xml version="1.0" encoding="utf-8"?>
<sst xmlns="http://schemas.openxmlformats.org/spreadsheetml/2006/main" count="103" uniqueCount="103">
  <si>
    <t>나무</t>
  </si>
  <si>
    <t>고급 재료</t>
  </si>
  <si>
    <t>천</t>
  </si>
  <si>
    <t>전기부품</t>
  </si>
  <si>
    <t>마법석</t>
  </si>
  <si>
    <t>총기부품</t>
  </si>
  <si>
    <t>조합법</t>
  </si>
  <si>
    <t>철</t>
  </si>
  <si>
    <t>황동</t>
  </si>
  <si>
    <t>화약</t>
  </si>
  <si>
    <t>완성 아이템</t>
  </si>
  <si>
    <t>완성 아이템 추가 및 조합법 수정하는 곳</t>
  </si>
  <si>
    <t>단 열매</t>
  </si>
  <si>
    <t>기본 재료(16개)</t>
  </si>
  <si>
    <t>쓴 열매</t>
  </si>
  <si>
    <t>산삼</t>
  </si>
  <si>
    <t>작은 물고기</t>
  </si>
  <si>
    <t>큰 물고기</t>
  </si>
  <si>
    <t>상어</t>
  </si>
  <si>
    <t>다이아몬드</t>
  </si>
  <si>
    <t>+</t>
  </si>
  <si>
    <t>실</t>
  </si>
  <si>
    <t>+나무+나무</t>
  </si>
  <si>
    <t>지식의 기억</t>
  </si>
  <si>
    <t>점프팩</t>
  </si>
  <si>
    <t>+천</t>
  </si>
  <si>
    <t>+천+전기부품+철</t>
  </si>
  <si>
    <t>+천+전기부품+황동</t>
  </si>
  <si>
    <t>좋은손전등의 기억</t>
  </si>
  <si>
    <t>강화 신발의 기억</t>
  </si>
  <si>
    <t>+나무+황동</t>
  </si>
  <si>
    <t>+마법석+나무+황동</t>
  </si>
  <si>
    <t>+나무+화약</t>
  </si>
  <si>
    <t>+마법석+황동+화약</t>
  </si>
  <si>
    <t>+나무+나무+철</t>
  </si>
  <si>
    <t>+총기부품+나무+철</t>
  </si>
  <si>
    <t>+철+황동+화약</t>
  </si>
  <si>
    <t>만능키의 기억</t>
  </si>
  <si>
    <t>귀환석의 기억</t>
  </si>
  <si>
    <t>재료 아이템</t>
  </si>
  <si>
    <t>가격</t>
  </si>
  <si>
    <t>소드의 기억</t>
  </si>
  <si>
    <t>망치의 기억</t>
  </si>
  <si>
    <t>총의 기억</t>
  </si>
  <si>
    <t>가구의 기억</t>
  </si>
  <si>
    <t>표지판의 기억</t>
  </si>
  <si>
    <t>+나무+나무+철+철</t>
  </si>
  <si>
    <t>+실+나무+철</t>
  </si>
  <si>
    <t>+실+나무+황동</t>
  </si>
  <si>
    <t>+나무+나무+나무+철+황동</t>
  </si>
  <si>
    <t>+나무+나무+천</t>
  </si>
  <si>
    <t>+총+총알</t>
  </si>
  <si>
    <t>+나무+나무+철+천</t>
  </si>
  <si>
    <t>+전기부품+철+황동</t>
  </si>
  <si>
    <t>+단 열매+쓴 열매+철</t>
  </si>
  <si>
    <t>단 열매+쓴 열매+산삼</t>
  </si>
  <si>
    <t>+나무+철+철+다이아몬드+천</t>
  </si>
  <si>
    <t>+작은 물고기+큰 물고기+철</t>
  </si>
  <si>
    <t>+상어+단 열매+철</t>
  </si>
  <si>
    <t>포션의 기억</t>
  </si>
  <si>
    <t>22=총+총알</t>
  </si>
  <si>
    <t>+단 열매+쓴 열매+작은 물고기+큰 물고기</t>
  </si>
  <si>
    <t>1. 옷</t>
  </si>
  <si>
    <t>1. 좋은 손전등</t>
  </si>
  <si>
    <t>1. 강화 신발</t>
  </si>
  <si>
    <t>1. 점프팩</t>
  </si>
  <si>
    <t>2. 도끼</t>
  </si>
  <si>
    <t>2. 곡괭이</t>
  </si>
  <si>
    <t>2. 낚시대</t>
  </si>
  <si>
    <t>2. 열쇠</t>
  </si>
  <si>
    <t>2. 만능키</t>
  </si>
  <si>
    <t>2. 횟불</t>
  </si>
  <si>
    <t>2. 귀환석</t>
  </si>
  <si>
    <t>3. 방망이</t>
  </si>
  <si>
    <t>3. 소드</t>
  </si>
  <si>
    <t>3. 망치</t>
  </si>
  <si>
    <t>3. 총</t>
  </si>
  <si>
    <t>3. 총알</t>
  </si>
  <si>
    <t>4. 보관함</t>
  </si>
  <si>
    <t>4. 울타리</t>
  </si>
  <si>
    <t>4. 표지판</t>
  </si>
  <si>
    <t>4. 가구</t>
  </si>
  <si>
    <t>5. 초급 포션</t>
  </si>
  <si>
    <t>5. 중급 포션</t>
  </si>
  <si>
    <t>5. 고급 포션</t>
  </si>
  <si>
    <t>5. 기력 회복 포션</t>
  </si>
  <si>
    <t>5. 아드레날린</t>
  </si>
  <si>
    <t>2. 총+총알</t>
  </si>
  <si>
    <t>가격 순서대로 정렬</t>
  </si>
  <si>
    <t>아이템 종류 순서대로 정렬</t>
  </si>
  <si>
    <t>1. 장비</t>
  </si>
  <si>
    <t>2. 도구</t>
  </si>
  <si>
    <t>3. 공격</t>
  </si>
  <si>
    <t>4. 섭취</t>
  </si>
  <si>
    <t>5. 설치</t>
  </si>
  <si>
    <t>아이템 합계</t>
  </si>
  <si>
    <t>재료+아이템</t>
  </si>
  <si>
    <t>아이템</t>
  </si>
  <si>
    <t>종류 별 합계</t>
  </si>
  <si>
    <t>아이템 확인용(2024.12.15.)</t>
  </si>
  <si>
    <t>재료(이름,가격), 아이템(이름, 조합법, 지식의 기억) 수정 가능 구역</t>
  </si>
  <si>
    <t>총합</t>
  </si>
  <si>
    <t>재료</t>
  </si>
</sst>
</file>

<file path=xl/styles.xml><?xml version="1.0" encoding="utf-8"?>
<styleSheet xmlns="http://schemas.openxmlformats.org/spreadsheetml/2006/main">
  <numFmts count="1">
    <numFmt numFmtId="176" formatCode="0_);[Red]\(0\)"/>
  </numFmts>
  <fonts count="22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0.0"/>
      <name val="Arial Unicode MS"/>
      <color theme="1"/>
    </font>
    <font>
      <b/>
      <sz val="20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8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0" tint="-0.149970"/>
        <bgColor rgb="FF000000"/>
      </patternFill>
    </fill>
    <fill>
      <patternFill patternType="solid">
        <fgColor theme="0" tint="-0.24995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theme="0" tint="-0.34999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68"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 style="thick">
        <color auto="1"/>
      </left>
      <right/>
      <top style="thick">
        <color auto="1"/>
      </top>
      <bottom style="thin">
        <color auto="1"/>
      </bottom>
    </border>
    <border>
      <left/>
      <right/>
      <top style="thick">
        <color auto="1"/>
      </top>
      <bottom style="thin">
        <color auto="1"/>
      </bottom>
    </border>
    <border>
      <left/>
      <right style="thick">
        <color auto="1"/>
      </right>
      <top style="thick">
        <color auto="1"/>
      </top>
      <bottom style="thin">
        <color auto="1"/>
      </bottom>
    </border>
    <border>
      <left style="thick">
        <color auto="1"/>
      </left>
      <right/>
      <top/>
      <bottom/>
    </border>
    <border>
      <left/>
      <right style="thick">
        <color auto="1"/>
      </right>
      <top/>
      <bottom/>
    </border>
    <border>
      <left style="thick">
        <color auto="1"/>
      </left>
      <right/>
      <top style="thin">
        <color auto="1"/>
      </top>
      <bottom style="thin">
        <color auto="1"/>
      </bottom>
    </border>
    <border>
      <left/>
      <right style="thick">
        <color auto="1"/>
      </right>
      <top style="thin">
        <color auto="1"/>
      </top>
      <bottom/>
    </border>
    <border>
      <left style="thick">
        <color auto="1"/>
      </left>
      <right/>
      <top style="thin">
        <color auto="1"/>
      </top>
      <bottom/>
    </border>
    <border>
      <left/>
      <right style="thick">
        <color auto="1"/>
      </right>
      <top/>
      <bottom style="thin">
        <color auto="1"/>
      </bottom>
    </border>
    <border>
      <left style="thick">
        <color auto="1"/>
      </left>
      <right/>
      <top/>
      <bottom style="thin">
        <color auto="1"/>
      </bottom>
    </border>
    <border>
      <left style="thick">
        <color auto="1"/>
      </left>
      <right/>
      <top/>
      <bottom style="thick">
        <color auto="1"/>
      </bottom>
    </border>
    <border>
      <left/>
      <right/>
      <top/>
      <bottom style="thick">
        <color auto="1"/>
      </bottom>
    </border>
    <border>
      <left/>
      <right style="thick">
        <color auto="1"/>
      </right>
      <top/>
      <bottom style="thick">
        <color auto="1"/>
      </bottom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ck">
        <color auto="1"/>
      </right>
      <top style="hair">
        <color auto="1"/>
      </top>
      <bottom style="thin">
        <color auto="1"/>
      </bottom>
    </border>
    <border>
      <left/>
      <right style="thick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/>
      <top style="thick">
        <color auto="1"/>
      </top>
      <bottom style="thick">
        <color auto="1"/>
      </bottom>
    </border>
    <border>
      <left/>
      <right/>
      <top style="thick">
        <color auto="1"/>
      </top>
      <bottom style="thick">
        <color auto="1"/>
      </bottom>
    </border>
    <border>
      <left/>
      <right style="thick">
        <color auto="1"/>
      </right>
      <top style="thick">
        <color auto="1"/>
      </top>
      <bottom style="thick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</border>
    <border>
      <left style="medium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medium">
        <color auto="1"/>
      </right>
      <top/>
      <bottom style="hair">
        <color auto="1"/>
      </bottom>
    </border>
    <border>
      <left style="medium">
        <color auto="1"/>
      </left>
      <right style="hair">
        <color auto="1"/>
      </right>
      <top/>
      <bottom style="medium">
        <color auto="1"/>
      </bottom>
    </border>
    <border>
      <left style="hair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0" fillId="7" borderId="59" applyAlignment="0" applyFont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60" applyAlignment="0" applyFill="0" applyNumberFormat="0" applyProtection="0">
      <alignment vertical="center"/>
    </xf>
    <xf numFmtId="0" fontId="9" fillId="0" borderId="61" applyAlignment="0" applyFill="0" applyNumberFormat="0" applyProtection="0">
      <alignment vertical="center"/>
    </xf>
    <xf numFmtId="0" fontId="10" fillId="0" borderId="62" applyAlignment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8" borderId="63" applyAlignment="0" applyNumberFormat="0" applyProtection="0">
      <alignment vertical="center"/>
    </xf>
    <xf numFmtId="0" fontId="12" fillId="9" borderId="64" applyAlignment="0" applyNumberFormat="0" applyProtection="0">
      <alignment vertical="center"/>
    </xf>
    <xf numFmtId="0" fontId="13" fillId="9" borderId="63" applyAlignment="0" applyNumberFormat="0" applyProtection="0">
      <alignment vertical="center"/>
    </xf>
    <xf numFmtId="0" fontId="14" fillId="10" borderId="65" applyAlignment="0" applyNumberFormat="0" applyProtection="0">
      <alignment vertical="center"/>
    </xf>
    <xf numFmtId="0" fontId="15" fillId="0" borderId="66" applyAlignment="0" applyFill="0" applyNumberFormat="0" applyProtection="0">
      <alignment vertical="center"/>
    </xf>
    <xf numFmtId="0" fontId="16" fillId="0" borderId="67" applyAlignment="0" applyFill="0" applyNumberFormat="0" applyProtection="0">
      <alignment vertical="center"/>
    </xf>
    <xf numFmtId="0" fontId="17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2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20" fillId="17" borderId="0" applyAlignment="0" applyBorder="0" applyNumberFormat="0" applyProtection="0">
      <alignment vertical="center"/>
    </xf>
    <xf numFmtId="0" fontId="2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0" fillId="21" borderId="0" applyAlignment="0" applyBorder="0" applyNumberFormat="0" applyProtection="0">
      <alignment vertical="center"/>
    </xf>
    <xf numFmtId="0" fontId="2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0" fillId="25" borderId="0" applyAlignment="0" applyBorder="0" applyNumberFormat="0" applyProtection="0">
      <alignment vertical="center"/>
    </xf>
    <xf numFmtId="0" fontId="2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0" fillId="29" borderId="0" applyAlignment="0" applyBorder="0" applyNumberFormat="0" applyProtection="0">
      <alignment vertical="center"/>
    </xf>
    <xf numFmtId="0" fontId="2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20" fillId="33" borderId="0" applyAlignment="0" applyBorder="0" applyNumberFormat="0" applyProtection="0">
      <alignment vertical="center"/>
    </xf>
    <xf numFmtId="0" fontId="20" fillId="34" borderId="0" applyAlignment="0" applyBorder="0" applyNumberFormat="0" applyProtection="0">
      <alignment vertical="center"/>
    </xf>
    <xf numFmtId="0" fontId="0" fillId="35" borderId="0" applyAlignment="0" applyBorder="0" applyNumberFormat="0" applyProtection="0">
      <alignment vertical="center"/>
    </xf>
    <xf numFmtId="0" fontId="0" fillId="36" borderId="0" applyAlignment="0" applyBorder="0" applyNumberFormat="0" applyProtection="0">
      <alignment vertical="center"/>
    </xf>
    <xf numFmtId="0" fontId="20" fillId="37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>
      <alignment vertical="center"/>
    </xf>
    <xf numFmtId="49" fontId="0" fillId="0" borderId="1" xfId="0" applyNumberFormat="1" applyBorder="1">
      <alignment vertical="center"/>
    </xf>
    <xf numFmtId="0" fontId="2" fillId="0" borderId="2" xfId="0" applyBorder="1">
      <alignment vertical="center"/>
    </xf>
    <xf numFmtId="0" fontId="2" fillId="0" borderId="3" xfId="0" applyBorder="1">
      <alignment vertical="center"/>
    </xf>
    <xf numFmtId="0" fontId="2" fillId="0" borderId="5" xfId="0" applyBorder="1">
      <alignment vertical="center"/>
    </xf>
    <xf numFmtId="0" fontId="0" fillId="0" borderId="1" xfId="0" applyBorder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4" xfId="0" applyBorder="1">
      <alignment vertical="center"/>
    </xf>
    <xf numFmtId="0" fontId="2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2" fillId="0" borderId="0" xfId="0" applyNumberFormat="1">
      <alignment vertical="center"/>
    </xf>
    <xf numFmtId="176" fontId="0" fillId="0" borderId="0" xfId="0" applyNumberFormat="1">
      <alignment vertical="center"/>
    </xf>
    <xf numFmtId="176" fontId="2" fillId="0" borderId="2" xfId="0" applyNumberFormat="1" applyBorder="1">
      <alignment vertical="center"/>
    </xf>
    <xf numFmtId="176" fontId="2" fillId="0" borderId="3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2" fillId="0" borderId="5" xfId="0" applyNumberFormat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3" fillId="0" borderId="0" xfId="0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2" fillId="6" borderId="0" xfId="0" applyFill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49" fontId="0" fillId="6" borderId="34" xfId="0" applyNumberForma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49" fontId="0" fillId="6" borderId="42" xfId="0" applyNumberFormat="1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49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49" fontId="0" fillId="6" borderId="2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3" fillId="3" borderId="17" xfId="0" applyFill="1" applyBorder="1" applyAlignment="1">
      <alignment horizontal="center" vertical="center"/>
    </xf>
    <xf numFmtId="0" fontId="3" fillId="3" borderId="18" xfId="0" applyFill="1" applyBorder="1" applyAlignment="1">
      <alignment horizontal="center" vertical="center"/>
    </xf>
    <xf numFmtId="0" fontId="3" fillId="3" borderId="19" xfId="0" applyFill="1" applyBorder="1" applyAlignment="1">
      <alignment horizontal="center" vertical="center"/>
    </xf>
    <xf numFmtId="0" fontId="3" fillId="0" borderId="46" xfId="0" applyBorder="1" applyAlignment="1">
      <alignment horizontal="center" vertical="center"/>
    </xf>
    <xf numFmtId="0" fontId="3" fillId="0" borderId="47" xfId="0" applyBorder="1" applyAlignment="1">
      <alignment horizontal="center" vertical="center"/>
    </xf>
    <xf numFmtId="0" fontId="3" fillId="0" borderId="48" xfId="0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176" fontId="2" fillId="0" borderId="4" xfId="0" applyNumberFormat="1" applyBorder="1" applyAlignment="1">
      <alignment horizontal="center" vertical="center"/>
    </xf>
    <xf numFmtId="176" fontId="2" fillId="0" borderId="0" xfId="0" applyNumberFormat="1" applyAlignment="1">
      <alignment horizontal="center" vertical="center"/>
    </xf>
    <xf numFmtId="176" fontId="2" fillId="0" borderId="5" xfId="0" applyNumberFormat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0" borderId="5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  <dxfs count="10">
    <dxf>
      <fill>
        <patternFill>
          <bgColor theme="3" tint="0.899960"/>
        </patternFill>
      </fill>
    </dxf>
    <dxf>
      <fill>
        <patternFill>
          <bgColor theme="5" tint="0.799980"/>
        </patternFill>
      </fill>
    </dxf>
    <dxf>
      <fill>
        <patternFill>
          <bgColor theme="9" tint="0.799980"/>
        </patternFill>
      </fill>
    </dxf>
    <dxf>
      <fill>
        <patternFill>
          <bgColor theme="8" tint="0.799980"/>
        </patternFill>
      </fill>
    </dxf>
    <dxf>
      <fill>
        <patternFill patternType="solid">
          <fgColor rgb="FFFFFFFF"/>
          <bgColor rgb="FFF2F8BA"/>
        </patternFill>
      </fill>
    </dxf>
    <dxf>
      <fill>
        <patternFill>
          <bgColor theme="3" tint="0.899960"/>
        </patternFill>
      </fill>
    </dxf>
    <dxf>
      <fill>
        <patternFill>
          <bgColor theme="5" tint="0.799980"/>
        </patternFill>
      </fill>
    </dxf>
    <dxf>
      <fill>
        <patternFill>
          <bgColor theme="9" tint="0.799980"/>
        </patternFill>
      </fill>
    </dxf>
    <dxf>
      <fill>
        <patternFill>
          <bgColor theme="8" tint="0.799980"/>
        </patternFill>
      </fill>
    </dxf>
    <dxf>
      <fill>
        <patternFill patternType="solid">
          <fgColor rgb="FFFFFFFF"/>
          <bgColor rgb="FFF2F8BA"/>
        </patternFill>
      </fill>
    </dxf>
  </dxf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2"/>
  <sheetViews>
    <sheetView tabSelected="1" zoomScale="85" zoomScaleNormal="85" workbookViewId="0">
      <selection activeCell="C5" sqref="C5"/>
    </sheetView>
  </sheetViews>
  <sheetFormatPr defaultRowHeight="16.500000"/>
  <cols>
    <col min="1" max="1" style="1" width="6.63000011" customWidth="1" outlineLevel="0"/>
    <col min="2" max="2" style="1" width="16.00500011" customWidth="1" outlineLevel="0"/>
    <col min="3" max="3" style="1" width="38.25500107" customWidth="1" outlineLevel="0"/>
    <col min="4" max="4" style="1" width="17.00499916" customWidth="1" outlineLevel="0"/>
    <col min="5" max="5" style="1" width="5.63000011" customWidth="1" outlineLevel="0"/>
    <col min="6" max="6" style="1" width="5.63000011" customWidth="1" outlineLevel="0"/>
    <col min="7" max="7" style="1" width="13.00500011" customWidth="1" outlineLevel="0"/>
    <col min="8" max="8" style="1" width="9.00500011" customWidth="1" outlineLevel="0"/>
    <col min="9" max="9" style="1" width="8.63000011" customWidth="1" outlineLevel="0"/>
    <col min="10" max="10" style="1" width="16.00500011" customWidth="1" outlineLevel="0"/>
    <col min="11" max="11" style="1" width="38.25500107" customWidth="1" outlineLevel="0"/>
    <col min="12" max="12" style="1" width="17.00499916" customWidth="1" outlineLevel="0"/>
    <col min="13" max="13" style="1" width="5.63000011" customWidth="1" outlineLevel="0"/>
    <col min="14" max="14" style="1" width="8.63000011" customWidth="1" outlineLevel="0"/>
    <col min="15" max="15" style="1" width="16.38000011" customWidth="1" outlineLevel="0"/>
    <col min="16" max="16" style="1" width="7.75500011" customWidth="1" outlineLevel="0"/>
    <col min="17" max="17" style="1" width="5.00500011" customWidth="1" outlineLevel="0"/>
    <col min="18" max="18" style="1" width="5.50500011" customWidth="1" outlineLevel="0"/>
    <col min="19" max="19" style="1" width="14.50500011" customWidth="1" outlineLevel="0"/>
    <col min="20" max="20" style="1" width="4.88000011" customWidth="1" outlineLevel="0"/>
    <col min="21" max="21" style="1" width="10.38000011" customWidth="1" outlineLevel="0"/>
    <col min="22" max="22" style="1" width="4.88000011" customWidth="1" outlineLevel="0"/>
    <col min="23" max="23" style="1" width="2.00500000" customWidth="1" outlineLevel="0"/>
    <col min="24" max="24" style="1" width="16.00500011" customWidth="1" outlineLevel="0"/>
    <col min="25" max="25" style="8" width="38.25500107" customWidth="1" outlineLevel="0"/>
    <col min="26" max="26" style="8" width="17.00499916" customWidth="1" outlineLevel="0"/>
    <col min="27" max="27" style="1" width="5.63000011" customWidth="1" outlineLevel="0"/>
    <col min="28" max="28" style="1" width="8.63000011" customWidth="1" outlineLevel="0"/>
    <col min="29" max="16384" style="1" width="8.63000011" customWidth="1" outlineLevel="0"/>
  </cols>
  <sheetData>
    <row r="1" spans="1:27" ht="33.000000">
      <c r="A1" s="28"/>
      <c r="B1" s="91" t="s">
        <v>99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S1" s="94" t="s">
        <v>100</v>
      </c>
      <c r="T1" s="95"/>
      <c r="U1" s="95"/>
      <c r="V1" s="95"/>
      <c r="W1" s="95"/>
      <c r="X1" s="95"/>
      <c r="Y1" s="95"/>
      <c r="Z1" s="95"/>
      <c r="AA1" s="96"/>
    </row>
    <row r="2" spans="1:27"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  <c r="S2" s="29"/>
      <c r="AA2" s="30"/>
    </row>
    <row r="3" spans="1:27" ht="17.250000">
      <c r="B3" s="90" t="s">
        <v>89</v>
      </c>
      <c r="C3" s="84"/>
      <c r="D3" s="84"/>
      <c r="E3" s="89"/>
      <c r="F3" s="36"/>
      <c r="G3" s="97" t="s">
        <v>98</v>
      </c>
      <c r="H3" s="98"/>
      <c r="I3" s="36"/>
      <c r="J3" s="83" t="s">
        <v>88</v>
      </c>
      <c r="K3" s="84"/>
      <c r="L3" s="84"/>
      <c r="M3" s="89"/>
      <c r="N3" s="36"/>
      <c r="O3" s="14" t="s">
        <v>95</v>
      </c>
      <c r="P3" s="66"/>
      <c r="S3" s="86" t="s">
        <v>39</v>
      </c>
      <c r="T3" s="87"/>
      <c r="U3" s="87"/>
      <c r="V3" s="88"/>
      <c r="X3" s="83" t="s">
        <v>11</v>
      </c>
      <c r="Y3" s="84"/>
      <c r="Z3" s="84"/>
      <c r="AA3" s="85"/>
    </row>
    <row r="4" spans="1:27" ht="17.250000">
      <c r="B4" s="58" t="s">
        <v>10</v>
      </c>
      <c r="C4" s="59" t="s">
        <v>6</v>
      </c>
      <c r="D4" s="60" t="s">
        <v>23</v>
      </c>
      <c r="E4" s="61" t="s">
        <v>40</v>
      </c>
      <c r="F4" s="36"/>
      <c r="G4" s="80" t="s">
        <v>101</v>
      </c>
      <c r="H4" s="81">
        <f>SUM(H5:H9)</f>
        <v>26</v>
      </c>
      <c r="I4" s="36"/>
      <c r="J4" s="62" t="s">
        <v>10</v>
      </c>
      <c r="K4" s="59" t="s">
        <v>6</v>
      </c>
      <c r="L4" s="60" t="s">
        <v>23</v>
      </c>
      <c r="M4" s="61" t="s">
        <v>40</v>
      </c>
      <c r="N4" s="36"/>
      <c r="O4" s="63" t="s">
        <v>96</v>
      </c>
      <c r="P4" s="55">
        <f>COUNTA(S5:S90)+COUNTA(U5:U171)+P5</f>
        <v>42</v>
      </c>
      <c r="S4" s="67" t="s">
        <v>13</v>
      </c>
      <c r="T4" s="24" t="s">
        <v>40</v>
      </c>
      <c r="U4" s="14" t="s">
        <v>1</v>
      </c>
      <c r="V4" s="24" t="s">
        <v>40</v>
      </c>
      <c r="X4" s="14" t="s">
        <v>10</v>
      </c>
      <c r="Y4" s="15" t="s">
        <v>6</v>
      </c>
      <c r="Z4" s="15" t="s">
        <v>23</v>
      </c>
      <c r="AA4" s="66" t="s">
        <v>40</v>
      </c>
    </row>
    <row r="5" spans="1:27">
      <c r="B5" s="42" t="str">
        <f t="array" ref="B5:E40">_xlfn._xlws.SORT(X5:AA40,1)</f>
        <v>1. 강화 신발</v>
      </c>
      <c r="C5" s="43" t="str">
        <v>+천+전기부품+철</v>
      </c>
      <c r="D5" s="43" t="str">
        <v>강화 신발의 기억</v>
      </c>
      <c r="E5" s="44">
        <v>208</v>
      </c>
      <c r="F5" s="36"/>
      <c r="G5" s="78" t="str">
        <f t="array" ref="G5:H9">_xlfn._xlws.SORT(Sheet2!AW6:AX10,2,-1)</f>
        <v>2. 도구</v>
      </c>
      <c r="H5" s="79">
        <v>8</v>
      </c>
      <c r="I5" s="36"/>
      <c r="J5" s="52" t="str">
        <f t="array" ref="J5:M40">_xlfn._xlws.SORT(X5:AA40,4)</f>
        <v>3. 방망이</v>
      </c>
      <c r="K5" s="43" t="str">
        <v>+나무+나무</v>
      </c>
      <c r="L5" s="43">
        <v>0</v>
      </c>
      <c r="M5" s="44">
        <v>32</v>
      </c>
      <c r="N5" s="36"/>
      <c r="O5" s="64" t="s">
        <v>97</v>
      </c>
      <c r="P5" s="56">
        <f>COUNTA(X5:X103)</f>
        <v>26</v>
      </c>
      <c r="S5" s="68" t="s">
        <v>0</v>
      </c>
      <c r="T5" s="26">
        <v>16</v>
      </c>
      <c r="U5" s="25" t="s">
        <v>21</v>
      </c>
      <c r="V5" s="26">
        <v>64</v>
      </c>
      <c r="X5" s="25" t="s">
        <v>62</v>
      </c>
      <c r="Y5" s="27" t="s">
        <v>25</v>
      </c>
      <c r="Z5" s="27"/>
      <c r="AA5" s="69">
        <f>Sheet2!F1</f>
        <v>80</v>
      </c>
    </row>
    <row r="6" spans="1:27">
      <c r="B6" s="45" t="str">
        <v>1. 옷</v>
      </c>
      <c r="C6" s="46" t="str">
        <v>+천</v>
      </c>
      <c r="D6" s="46">
        <v>0</v>
      </c>
      <c r="E6" s="47">
        <v>80</v>
      </c>
      <c r="F6" s="36"/>
      <c r="G6" s="74" t="str">
        <v>3. 공격</v>
      </c>
      <c r="H6" s="75">
        <v>5</v>
      </c>
      <c r="I6" s="36"/>
      <c r="J6" s="53" t="str">
        <v>4. 보관함</v>
      </c>
      <c r="K6" s="46" t="str">
        <v>+나무+나무+철</v>
      </c>
      <c r="L6" s="46">
        <v>0</v>
      </c>
      <c r="M6" s="47">
        <v>64</v>
      </c>
      <c r="N6" s="36"/>
      <c r="O6" s="65" t="s">
        <v>23</v>
      </c>
      <c r="P6" s="57">
        <f>COUNTA(Z5:Z323)</f>
        <v>12</v>
      </c>
      <c r="S6" s="70" t="s">
        <v>12</v>
      </c>
      <c r="T6" s="21">
        <v>16</v>
      </c>
      <c r="U6" s="11" t="s">
        <v>2</v>
      </c>
      <c r="V6" s="21">
        <v>80</v>
      </c>
      <c r="X6" s="11" t="s">
        <v>63</v>
      </c>
      <c r="Y6" s="8" t="s">
        <v>53</v>
      </c>
      <c r="Z6" s="8" t="s">
        <v>28</v>
      </c>
      <c r="AA6" s="71">
        <f>Sheet2!K1</f>
        <v>192</v>
      </c>
    </row>
    <row r="7" spans="1:27">
      <c r="B7" s="45" t="str">
        <v>1. 점프팩</v>
      </c>
      <c r="C7" s="46" t="str">
        <v>+천+전기부품+황동</v>
      </c>
      <c r="D7" s="46" t="str">
        <v>점프팩</v>
      </c>
      <c r="E7" s="47">
        <v>240</v>
      </c>
      <c r="F7" s="36"/>
      <c r="G7" s="74" t="str">
        <v>5. 설치</v>
      </c>
      <c r="H7" s="75">
        <v>5</v>
      </c>
      <c r="I7" s="36"/>
      <c r="J7" s="53" t="str">
        <v>5. 초급 포션</v>
      </c>
      <c r="K7" s="46" t="str">
        <v>+단 열매+쓴 열매+철</v>
      </c>
      <c r="L7" s="46">
        <v>0</v>
      </c>
      <c r="M7" s="47">
        <v>64</v>
      </c>
      <c r="N7" s="36"/>
      <c r="O7" s="36" t="s">
        <v>102</v>
      </c>
      <c r="P7" s="82">
        <f>P4-P5</f>
        <v>16</v>
      </c>
      <c r="S7" s="70" t="s">
        <v>14</v>
      </c>
      <c r="T7" s="21">
        <v>16</v>
      </c>
      <c r="U7" s="11" t="s">
        <v>3</v>
      </c>
      <c r="V7" s="21">
        <v>96</v>
      </c>
      <c r="X7" s="11" t="s">
        <v>64</v>
      </c>
      <c r="Y7" s="8" t="s">
        <v>26</v>
      </c>
      <c r="Z7" s="8" t="s">
        <v>29</v>
      </c>
      <c r="AA7" s="71">
        <f>Sheet2!P1</f>
        <v>208</v>
      </c>
    </row>
    <row r="8" spans="1:27">
      <c r="B8" s="45" t="str">
        <v>1. 좋은 손전등</v>
      </c>
      <c r="C8" s="46" t="str">
        <v>+전기부품+철+황동</v>
      </c>
      <c r="D8" s="46" t="str">
        <v>좋은손전등의 기억</v>
      </c>
      <c r="E8" s="47">
        <v>192</v>
      </c>
      <c r="F8" s="36"/>
      <c r="G8" s="74" t="str">
        <v>1. 장비</v>
      </c>
      <c r="H8" s="75">
        <v>4</v>
      </c>
      <c r="I8" s="36"/>
      <c r="J8" s="53" t="str">
        <v>1. 옷</v>
      </c>
      <c r="K8" s="46" t="str">
        <v>+천</v>
      </c>
      <c r="L8" s="46">
        <v>0</v>
      </c>
      <c r="M8" s="47">
        <v>80</v>
      </c>
      <c r="N8" s="36"/>
      <c r="O8" s="36"/>
      <c r="P8" s="37"/>
      <c r="S8" s="70" t="s">
        <v>16</v>
      </c>
      <c r="T8" s="21">
        <v>16</v>
      </c>
      <c r="U8" s="11" t="s">
        <v>15</v>
      </c>
      <c r="V8" s="21">
        <v>100</v>
      </c>
      <c r="X8" s="11" t="s">
        <v>65</v>
      </c>
      <c r="Y8" s="8" t="s">
        <v>27</v>
      </c>
      <c r="Z8" s="8" t="s">
        <v>24</v>
      </c>
      <c r="AA8" s="71">
        <f>Sheet2!U1</f>
        <v>240</v>
      </c>
    </row>
    <row r="9" spans="1:27" ht="17.250000">
      <c r="B9" s="45" t="str">
        <v>2. 곡괭이</v>
      </c>
      <c r="C9" s="46" t="str">
        <v>+실+나무+황동</v>
      </c>
      <c r="D9" s="46">
        <v>0</v>
      </c>
      <c r="E9" s="47">
        <v>144</v>
      </c>
      <c r="F9" s="36"/>
      <c r="G9" s="76" t="str">
        <v>4. 섭취</v>
      </c>
      <c r="H9" s="77">
        <v>4</v>
      </c>
      <c r="I9" s="36"/>
      <c r="J9" s="53" t="str">
        <v>2. 열쇠</v>
      </c>
      <c r="K9" s="46" t="str">
        <v>+나무+황동</v>
      </c>
      <c r="L9" s="46">
        <v>0</v>
      </c>
      <c r="M9" s="47">
        <v>80</v>
      </c>
      <c r="N9" s="38"/>
      <c r="O9" s="36"/>
      <c r="P9" s="37"/>
      <c r="S9" s="29" t="s">
        <v>17</v>
      </c>
      <c r="T9" s="21">
        <v>32</v>
      </c>
      <c r="U9" s="11" t="s">
        <v>19</v>
      </c>
      <c r="V9" s="21">
        <v>100</v>
      </c>
      <c r="X9" s="11" t="s">
        <v>66</v>
      </c>
      <c r="Y9" s="8" t="s">
        <v>47</v>
      </c>
      <c r="Z9" s="8" t="s">
        <v>24</v>
      </c>
      <c r="AA9" s="71">
        <f>Sheet2!Z1</f>
        <v>112</v>
      </c>
    </row>
    <row r="10" spans="1:27">
      <c r="B10" s="45" t="str">
        <v>2. 귀환석</v>
      </c>
      <c r="C10" s="46" t="str">
        <v>+마법석+황동+화약</v>
      </c>
      <c r="D10" s="46" t="str">
        <v>귀환석의 기억</v>
      </c>
      <c r="E10" s="47">
        <v>272</v>
      </c>
      <c r="F10" s="36"/>
      <c r="G10" s="36"/>
      <c r="H10" s="36"/>
      <c r="I10" s="36"/>
      <c r="J10" s="53" t="str">
        <v>5. 중급 포션</v>
      </c>
      <c r="K10" s="46" t="str">
        <v>+단 열매+쓴 열매+작은 물고기+큰 물고기</v>
      </c>
      <c r="L10" s="46">
        <v>0</v>
      </c>
      <c r="M10" s="47">
        <v>80</v>
      </c>
      <c r="N10" s="36"/>
      <c r="O10" s="36"/>
      <c r="P10" s="37"/>
      <c r="S10" s="29" t="s">
        <v>7</v>
      </c>
      <c r="T10" s="21">
        <v>32</v>
      </c>
      <c r="U10" s="11" t="s">
        <v>18</v>
      </c>
      <c r="V10" s="21">
        <v>100</v>
      </c>
      <c r="X10" s="11" t="s">
        <v>67</v>
      </c>
      <c r="Y10" s="8" t="s">
        <v>48</v>
      </c>
      <c r="AA10" s="71">
        <f>Sheet2!AE1</f>
        <v>144</v>
      </c>
    </row>
    <row r="11" spans="1:27">
      <c r="B11" s="45" t="str">
        <v>2. 낚시대</v>
      </c>
      <c r="C11" s="46" t="str">
        <v>+실+나무+철</v>
      </c>
      <c r="D11" s="46">
        <v>0</v>
      </c>
      <c r="E11" s="47">
        <v>112</v>
      </c>
      <c r="F11" s="36"/>
      <c r="G11" s="36"/>
      <c r="H11" s="36"/>
      <c r="I11" s="36"/>
      <c r="J11" s="53" t="str">
        <v>5. 기력 회복 포션</v>
      </c>
      <c r="K11" s="46" t="str">
        <v>+작은 물고기+큰 물고기+철</v>
      </c>
      <c r="L11" s="46">
        <v>0</v>
      </c>
      <c r="M11" s="47">
        <v>80</v>
      </c>
      <c r="N11" s="36"/>
      <c r="O11" s="36"/>
      <c r="P11" s="37"/>
      <c r="S11" s="29" t="s">
        <v>8</v>
      </c>
      <c r="T11" s="21">
        <v>64</v>
      </c>
      <c r="U11" s="11" t="s">
        <v>4</v>
      </c>
      <c r="V11" s="21">
        <v>128</v>
      </c>
      <c r="X11" s="11" t="s">
        <v>68</v>
      </c>
      <c r="Y11" s="8" t="s">
        <v>47</v>
      </c>
      <c r="AA11" s="71">
        <f>Sheet2!AJ1</f>
        <v>112</v>
      </c>
    </row>
    <row r="12" spans="1:27">
      <c r="B12" s="45" t="str">
        <v>2. 도끼</v>
      </c>
      <c r="C12" s="46" t="str">
        <v>+실+나무+철</v>
      </c>
      <c r="D12" s="46" t="str">
        <v>점프팩</v>
      </c>
      <c r="E12" s="47">
        <v>112</v>
      </c>
      <c r="F12" s="36"/>
      <c r="G12" s="36"/>
      <c r="H12" s="36"/>
      <c r="I12" s="36"/>
      <c r="J12" s="53" t="str">
        <v>2. 횟불</v>
      </c>
      <c r="K12" s="46" t="str">
        <v>+나무+화약</v>
      </c>
      <c r="L12" s="46">
        <v>0</v>
      </c>
      <c r="M12" s="47">
        <v>96</v>
      </c>
      <c r="N12" s="36"/>
      <c r="O12" s="36"/>
      <c r="P12" s="37"/>
      <c r="S12" s="31" t="s">
        <v>9</v>
      </c>
      <c r="T12" s="22">
        <v>80</v>
      </c>
      <c r="U12" s="12" t="s">
        <v>5</v>
      </c>
      <c r="V12" s="22">
        <v>144</v>
      </c>
      <c r="X12" s="11" t="s">
        <v>69</v>
      </c>
      <c r="Y12" s="8" t="s">
        <v>30</v>
      </c>
      <c r="AA12" s="71">
        <f>Sheet2!F13</f>
        <v>80</v>
      </c>
    </row>
    <row r="13" spans="1:27">
      <c r="B13" s="45" t="str">
        <v>2. 만능키</v>
      </c>
      <c r="C13" s="46" t="str">
        <v>+마법석+나무+황동</v>
      </c>
      <c r="D13" s="46" t="str">
        <v>만능키의 기억</v>
      </c>
      <c r="E13" s="47">
        <v>208</v>
      </c>
      <c r="F13" s="36"/>
      <c r="G13" s="36"/>
      <c r="H13" s="36"/>
      <c r="I13" s="36"/>
      <c r="J13" s="53" t="str">
        <v>3. 소드</v>
      </c>
      <c r="K13" s="46" t="str">
        <v>+나무+나무+철+철</v>
      </c>
      <c r="L13" s="46" t="str">
        <v>소드의 기억</v>
      </c>
      <c r="M13" s="47">
        <v>96</v>
      </c>
      <c r="N13" s="36"/>
      <c r="O13" s="36"/>
      <c r="P13" s="37"/>
      <c r="S13" s="29"/>
      <c r="X13" s="11" t="s">
        <v>70</v>
      </c>
      <c r="Y13" s="8" t="s">
        <v>31</v>
      </c>
      <c r="Z13" s="8" t="s">
        <v>37</v>
      </c>
      <c r="AA13" s="71">
        <f>Sheet2!K13</f>
        <v>208</v>
      </c>
    </row>
    <row r="14" spans="1:27">
      <c r="B14" s="45" t="str">
        <v>2. 열쇠</v>
      </c>
      <c r="C14" s="48" t="str">
        <v>+나무+황동</v>
      </c>
      <c r="D14" s="46">
        <v>0</v>
      </c>
      <c r="E14" s="47">
        <v>80</v>
      </c>
      <c r="F14" s="36"/>
      <c r="G14" s="36"/>
      <c r="H14" s="36"/>
      <c r="I14" s="36"/>
      <c r="J14" s="53" t="str">
        <v>2. 도끼</v>
      </c>
      <c r="K14" s="48" t="str">
        <v>+실+나무+철</v>
      </c>
      <c r="L14" s="46" t="str">
        <v>점프팩</v>
      </c>
      <c r="M14" s="47">
        <v>112</v>
      </c>
      <c r="N14" s="36"/>
      <c r="O14" s="36"/>
      <c r="P14" s="37"/>
      <c r="S14" s="29"/>
      <c r="X14" s="11" t="s">
        <v>71</v>
      </c>
      <c r="Y14" s="8" t="s">
        <v>32</v>
      </c>
      <c r="AA14" s="71">
        <f>Sheet2!P13</f>
        <v>96</v>
      </c>
    </row>
    <row r="15" spans="1:27">
      <c r="B15" s="45" t="str">
        <v>2. 총+총알</v>
      </c>
      <c r="C15" s="46" t="str">
        <v>+총+총알</v>
      </c>
      <c r="D15" s="46">
        <v>0</v>
      </c>
      <c r="E15" s="47">
        <v>368</v>
      </c>
      <c r="F15" s="36"/>
      <c r="G15" s="36"/>
      <c r="H15" s="36"/>
      <c r="I15" s="36"/>
      <c r="J15" s="53" t="str">
        <v>2. 낚시대</v>
      </c>
      <c r="K15" s="46" t="str">
        <v>+실+나무+철</v>
      </c>
      <c r="L15" s="46">
        <v>0</v>
      </c>
      <c r="M15" s="47">
        <v>112</v>
      </c>
      <c r="N15" s="36"/>
      <c r="O15" s="36"/>
      <c r="P15" s="37"/>
      <c r="S15" s="29"/>
      <c r="X15" s="11" t="s">
        <v>72</v>
      </c>
      <c r="Y15" s="8" t="s">
        <v>33</v>
      </c>
      <c r="Z15" s="8" t="s">
        <v>38</v>
      </c>
      <c r="AA15" s="71">
        <f>Sheet2!U13</f>
        <v>272</v>
      </c>
    </row>
    <row r="16" spans="1:27">
      <c r="B16" s="45" t="str">
        <v>2. 횟불</v>
      </c>
      <c r="C16" s="46" t="str">
        <v>+나무+화약</v>
      </c>
      <c r="D16" s="46">
        <v>0</v>
      </c>
      <c r="E16" s="47">
        <v>96</v>
      </c>
      <c r="F16" s="36"/>
      <c r="G16" s="36"/>
      <c r="H16" s="36"/>
      <c r="I16" s="36"/>
      <c r="J16" s="53" t="str">
        <v>4. 가구</v>
      </c>
      <c r="K16" s="46" t="str">
        <v>+나무+나무+천</v>
      </c>
      <c r="L16" s="46" t="str">
        <v>가구의 기억</v>
      </c>
      <c r="M16" s="47">
        <v>112</v>
      </c>
      <c r="N16" s="36"/>
      <c r="O16" s="36"/>
      <c r="P16" s="37"/>
      <c r="S16" s="29"/>
      <c r="X16" s="11" t="s">
        <v>73</v>
      </c>
      <c r="Y16" s="8" t="s">
        <v>22</v>
      </c>
      <c r="AA16" s="71">
        <f>Sheet2!Z13</f>
        <v>32</v>
      </c>
    </row>
    <row r="17" spans="2:27">
      <c r="B17" s="45" t="str">
        <v>3. 망치</v>
      </c>
      <c r="C17" s="46" t="str">
        <v>+나무+철+철+다이아몬드+천</v>
      </c>
      <c r="D17" s="46" t="str">
        <v>망치의 기억</v>
      </c>
      <c r="E17" s="47">
        <v>260</v>
      </c>
      <c r="F17" s="36"/>
      <c r="G17" s="36"/>
      <c r="H17" s="36"/>
      <c r="I17" s="36"/>
      <c r="J17" s="53" t="str">
        <v>5. 고급 포션</v>
      </c>
      <c r="K17" s="46" t="str">
        <v>단 열매+쓴 열매+산삼</v>
      </c>
      <c r="L17" s="46" t="str">
        <v>포션의 기억</v>
      </c>
      <c r="M17" s="47">
        <v>116</v>
      </c>
      <c r="N17" s="36"/>
      <c r="O17" s="36"/>
      <c r="P17" s="37"/>
      <c r="S17" s="29"/>
      <c r="X17" s="11" t="s">
        <v>74</v>
      </c>
      <c r="Y17" s="8" t="s">
        <v>46</v>
      </c>
      <c r="Z17" s="8" t="s">
        <v>41</v>
      </c>
      <c r="AA17" s="71">
        <f>Sheet2!AE13</f>
        <v>96</v>
      </c>
    </row>
    <row r="18" spans="2:27">
      <c r="B18" s="45" t="str">
        <v>3. 방망이</v>
      </c>
      <c r="C18" s="46" t="str">
        <v>+나무+나무</v>
      </c>
      <c r="D18" s="46">
        <v>0</v>
      </c>
      <c r="E18" s="47">
        <v>32</v>
      </c>
      <c r="F18" s="36"/>
      <c r="G18" s="36"/>
      <c r="H18" s="36"/>
      <c r="I18" s="36"/>
      <c r="J18" s="53" t="str">
        <v>2. 곡괭이</v>
      </c>
      <c r="K18" s="46" t="str">
        <v>+실+나무+황동</v>
      </c>
      <c r="L18" s="46">
        <v>0</v>
      </c>
      <c r="M18" s="47">
        <v>144</v>
      </c>
      <c r="N18" s="36"/>
      <c r="O18" s="36"/>
      <c r="P18" s="37"/>
      <c r="S18" s="29"/>
      <c r="X18" s="11" t="s">
        <v>75</v>
      </c>
      <c r="Y18" s="8" t="s">
        <v>56</v>
      </c>
      <c r="Z18" s="8" t="s">
        <v>42</v>
      </c>
      <c r="AA18" s="71">
        <f>Sheet2!AJ13</f>
        <v>260</v>
      </c>
    </row>
    <row r="19" spans="2:27">
      <c r="B19" s="45" t="str">
        <v>3. 소드</v>
      </c>
      <c r="C19" s="46" t="str">
        <v>+나무+나무+철+철</v>
      </c>
      <c r="D19" s="46" t="str">
        <v>소드의 기억</v>
      </c>
      <c r="E19" s="47">
        <v>96</v>
      </c>
      <c r="F19" s="36"/>
      <c r="G19" s="36"/>
      <c r="H19" s="36"/>
      <c r="I19" s="36"/>
      <c r="J19" s="53" t="str">
        <v>4. 울타리</v>
      </c>
      <c r="K19" s="46" t="str">
        <v>+나무+나무+나무+철+황동</v>
      </c>
      <c r="L19" s="46">
        <v>0</v>
      </c>
      <c r="M19" s="47">
        <v>144</v>
      </c>
      <c r="N19" s="36"/>
      <c r="O19" s="36"/>
      <c r="P19" s="37"/>
      <c r="S19" s="29"/>
      <c r="X19" s="11" t="s">
        <v>76</v>
      </c>
      <c r="Y19" s="8" t="s">
        <v>35</v>
      </c>
      <c r="Z19" s="8" t="s">
        <v>43</v>
      </c>
      <c r="AA19" s="71">
        <f>Sheet2!F25</f>
        <v>192</v>
      </c>
    </row>
    <row r="20" spans="2:27">
      <c r="B20" s="45" t="str">
        <v>3. 총</v>
      </c>
      <c r="C20" s="46" t="str">
        <v>+총기부품+나무+철</v>
      </c>
      <c r="D20" s="46" t="str">
        <v>총의 기억</v>
      </c>
      <c r="E20" s="47">
        <v>192</v>
      </c>
      <c r="F20" s="36"/>
      <c r="G20" s="36"/>
      <c r="H20" s="36"/>
      <c r="I20" s="36"/>
      <c r="J20" s="53" t="str">
        <v>4. 표지판</v>
      </c>
      <c r="K20" s="46" t="str">
        <v>+나무+나무+철+천</v>
      </c>
      <c r="L20" s="46" t="str">
        <v>표지판의 기억</v>
      </c>
      <c r="M20" s="47">
        <v>144</v>
      </c>
      <c r="N20" s="36"/>
      <c r="O20" s="36"/>
      <c r="P20" s="37"/>
      <c r="S20" s="29"/>
      <c r="X20" s="11" t="s">
        <v>77</v>
      </c>
      <c r="Y20" s="8" t="s">
        <v>36</v>
      </c>
      <c r="AA20" s="71">
        <f>Sheet2!K25</f>
        <v>176</v>
      </c>
    </row>
    <row r="21" spans="2:27">
      <c r="B21" s="45" t="str">
        <v>3. 총알</v>
      </c>
      <c r="C21" s="46" t="str">
        <v>+철+황동+화약</v>
      </c>
      <c r="D21" s="46">
        <v>0</v>
      </c>
      <c r="E21" s="47">
        <v>176</v>
      </c>
      <c r="F21" s="36"/>
      <c r="G21" s="36"/>
      <c r="H21" s="36"/>
      <c r="I21" s="36"/>
      <c r="J21" s="53" t="str">
        <v>5. 아드레날린</v>
      </c>
      <c r="K21" s="46" t="str">
        <v>+상어+단 열매+철</v>
      </c>
      <c r="L21" s="46">
        <v>0</v>
      </c>
      <c r="M21" s="47">
        <v>148</v>
      </c>
      <c r="N21" s="36"/>
      <c r="O21" s="36"/>
      <c r="P21" s="37"/>
      <c r="S21" s="29"/>
      <c r="X21" s="11" t="s">
        <v>78</v>
      </c>
      <c r="Y21" s="8" t="s">
        <v>34</v>
      </c>
      <c r="AA21" s="71">
        <f>Sheet2!P25</f>
        <v>64</v>
      </c>
    </row>
    <row r="22" spans="2:27">
      <c r="B22" s="45" t="str">
        <v>4. 가구</v>
      </c>
      <c r="C22" s="46" t="str">
        <v>+나무+나무+천</v>
      </c>
      <c r="D22" s="46" t="str">
        <v>가구의 기억</v>
      </c>
      <c r="E22" s="47">
        <v>112</v>
      </c>
      <c r="F22" s="36"/>
      <c r="G22" s="36"/>
      <c r="H22" s="36"/>
      <c r="I22" s="36"/>
      <c r="J22" s="53" t="str">
        <v>3. 총알</v>
      </c>
      <c r="K22" s="46" t="str">
        <v>+철+황동+화약</v>
      </c>
      <c r="L22" s="46">
        <v>0</v>
      </c>
      <c r="M22" s="47">
        <v>176</v>
      </c>
      <c r="N22" s="36"/>
      <c r="O22" s="36"/>
      <c r="P22" s="37"/>
      <c r="S22" s="29"/>
      <c r="X22" s="11" t="s">
        <v>79</v>
      </c>
      <c r="Y22" s="8" t="s">
        <v>49</v>
      </c>
      <c r="AA22" s="71">
        <f>Sheet2!U25</f>
        <v>144</v>
      </c>
    </row>
    <row r="23" spans="2:27">
      <c r="B23" s="45" t="str">
        <v>4. 보관함</v>
      </c>
      <c r="C23" s="46" t="str">
        <v>+나무+나무+철</v>
      </c>
      <c r="D23" s="46">
        <v>0</v>
      </c>
      <c r="E23" s="47">
        <v>64</v>
      </c>
      <c r="F23" s="36"/>
      <c r="G23" s="36"/>
      <c r="H23" s="36"/>
      <c r="I23" s="36"/>
      <c r="J23" s="53" t="str">
        <v>1. 좋은 손전등</v>
      </c>
      <c r="K23" s="46" t="str">
        <v>+전기부품+철+황동</v>
      </c>
      <c r="L23" s="46" t="str">
        <v>좋은손전등의 기억</v>
      </c>
      <c r="M23" s="47">
        <v>192</v>
      </c>
      <c r="N23" s="36"/>
      <c r="O23" s="36"/>
      <c r="P23" s="37"/>
      <c r="S23" s="29"/>
      <c r="X23" s="11" t="s">
        <v>80</v>
      </c>
      <c r="Y23" s="8" t="s">
        <v>52</v>
      </c>
      <c r="Z23" s="8" t="s">
        <v>45</v>
      </c>
      <c r="AA23" s="71">
        <f>Sheet2!Z25</f>
        <v>144</v>
      </c>
    </row>
    <row r="24" spans="2:27">
      <c r="B24" s="45" t="str">
        <v>4. 울타리</v>
      </c>
      <c r="C24" s="46" t="str">
        <v>+나무+나무+나무+철+황동</v>
      </c>
      <c r="D24" s="46">
        <v>0</v>
      </c>
      <c r="E24" s="47">
        <v>144</v>
      </c>
      <c r="F24" s="36"/>
      <c r="G24" s="36"/>
      <c r="H24" s="36"/>
      <c r="I24" s="36"/>
      <c r="J24" s="53" t="str">
        <v>3. 총</v>
      </c>
      <c r="K24" s="46" t="str">
        <v>+총기부품+나무+철</v>
      </c>
      <c r="L24" s="46" t="str">
        <v>총의 기억</v>
      </c>
      <c r="M24" s="47">
        <v>192</v>
      </c>
      <c r="N24" s="36"/>
      <c r="O24" s="36"/>
      <c r="P24" s="37"/>
      <c r="S24" s="29"/>
      <c r="X24" s="11" t="s">
        <v>81</v>
      </c>
      <c r="Y24" s="8" t="s">
        <v>50</v>
      </c>
      <c r="Z24" s="8" t="s">
        <v>44</v>
      </c>
      <c r="AA24" s="71">
        <f>Sheet2!AE25</f>
        <v>112</v>
      </c>
    </row>
    <row r="25" spans="2:27">
      <c r="B25" s="45" t="str">
        <v>4. 표지판</v>
      </c>
      <c r="C25" s="46" t="str">
        <v>+나무+나무+철+천</v>
      </c>
      <c r="D25" s="46" t="str">
        <v>표지판의 기억</v>
      </c>
      <c r="E25" s="47">
        <v>144</v>
      </c>
      <c r="F25" s="36"/>
      <c r="G25" s="36"/>
      <c r="H25" s="36"/>
      <c r="I25" s="36"/>
      <c r="J25" s="53" t="str">
        <v>1. 강화 신발</v>
      </c>
      <c r="K25" s="46" t="str">
        <v>+천+전기부품+철</v>
      </c>
      <c r="L25" s="46" t="str">
        <v>강화 신발의 기억</v>
      </c>
      <c r="M25" s="47">
        <v>208</v>
      </c>
      <c r="N25" s="36"/>
      <c r="O25" s="36"/>
      <c r="P25" s="37"/>
      <c r="S25" s="29"/>
      <c r="X25" s="11" t="s">
        <v>82</v>
      </c>
      <c r="Y25" s="8" t="s">
        <v>54</v>
      </c>
      <c r="AA25" s="71">
        <f>Sheet2!AJ25</f>
        <v>64</v>
      </c>
    </row>
    <row r="26" spans="2:27">
      <c r="B26" s="45" t="str">
        <v>5. 고급 포션</v>
      </c>
      <c r="C26" s="46" t="str">
        <v>단 열매+쓴 열매+산삼</v>
      </c>
      <c r="D26" s="46" t="str">
        <v>포션의 기억</v>
      </c>
      <c r="E26" s="47">
        <v>116</v>
      </c>
      <c r="F26" s="36"/>
      <c r="G26" s="36"/>
      <c r="H26" s="36"/>
      <c r="I26" s="36"/>
      <c r="J26" s="53" t="str">
        <v>2. 만능키</v>
      </c>
      <c r="K26" s="46" t="str">
        <v>+마법석+나무+황동</v>
      </c>
      <c r="L26" s="46" t="str">
        <v>만능키의 기억</v>
      </c>
      <c r="M26" s="47">
        <v>208</v>
      </c>
      <c r="N26" s="36"/>
      <c r="O26" s="36"/>
      <c r="P26" s="37"/>
      <c r="S26" s="29"/>
      <c r="X26" s="11" t="s">
        <v>87</v>
      </c>
      <c r="Y26" s="8" t="s">
        <v>51</v>
      </c>
      <c r="AA26" s="71">
        <f>SUM(AA19:AA20)</f>
        <v>368</v>
      </c>
    </row>
    <row r="27" spans="2:27">
      <c r="B27" s="45" t="str">
        <v>5. 기력 회복 포션</v>
      </c>
      <c r="C27" s="46" t="str">
        <v>+작은 물고기+큰 물고기+철</v>
      </c>
      <c r="D27" s="46">
        <v>0</v>
      </c>
      <c r="E27" s="47">
        <v>80</v>
      </c>
      <c r="F27" s="36"/>
      <c r="G27" s="36"/>
      <c r="H27" s="36"/>
      <c r="I27" s="36"/>
      <c r="J27" s="53" t="str">
        <v>1. 점프팩</v>
      </c>
      <c r="K27" s="46" t="str">
        <v>+천+전기부품+황동</v>
      </c>
      <c r="L27" s="46" t="str">
        <v>점프팩</v>
      </c>
      <c r="M27" s="47">
        <v>240</v>
      </c>
      <c r="N27" s="36"/>
      <c r="O27" s="36"/>
      <c r="P27" s="37"/>
      <c r="S27" s="29"/>
      <c r="X27" s="11" t="s">
        <v>83</v>
      </c>
      <c r="Y27" s="8" t="s">
        <v>61</v>
      </c>
      <c r="AA27" s="71">
        <f>Sheet2!F37</f>
        <v>80</v>
      </c>
    </row>
    <row r="28" spans="2:27">
      <c r="B28" s="45" t="str">
        <v>5. 아드레날린</v>
      </c>
      <c r="C28" s="46" t="str">
        <v>+상어+단 열매+철</v>
      </c>
      <c r="D28" s="46">
        <v>0</v>
      </c>
      <c r="E28" s="47">
        <v>148</v>
      </c>
      <c r="F28" s="36"/>
      <c r="G28" s="36"/>
      <c r="H28" s="36"/>
      <c r="I28" s="36"/>
      <c r="J28" s="53" t="str">
        <v>3. 망치</v>
      </c>
      <c r="K28" s="46" t="str">
        <v>+나무+철+철+다이아몬드+천</v>
      </c>
      <c r="L28" s="46" t="str">
        <v>망치의 기억</v>
      </c>
      <c r="M28" s="47">
        <v>260</v>
      </c>
      <c r="N28" s="36"/>
      <c r="O28" s="36"/>
      <c r="P28" s="37"/>
      <c r="S28" s="29"/>
      <c r="X28" s="11" t="s">
        <v>84</v>
      </c>
      <c r="Y28" s="8" t="s">
        <v>55</v>
      </c>
      <c r="Z28" s="8" t="s">
        <v>59</v>
      </c>
      <c r="AA28" s="71">
        <f>Sheet2!K37</f>
        <v>116</v>
      </c>
    </row>
    <row r="29" spans="2:27">
      <c r="B29" s="45" t="str">
        <v>5. 중급 포션</v>
      </c>
      <c r="C29" s="46" t="str">
        <v>+단 열매+쓴 열매+작은 물고기+큰 물고기</v>
      </c>
      <c r="D29" s="46">
        <v>0</v>
      </c>
      <c r="E29" s="47">
        <v>80</v>
      </c>
      <c r="F29" s="36"/>
      <c r="G29" s="36"/>
      <c r="H29" s="36"/>
      <c r="I29" s="36"/>
      <c r="J29" s="53" t="str">
        <v>2. 귀환석</v>
      </c>
      <c r="K29" s="46" t="str">
        <v>+마법석+황동+화약</v>
      </c>
      <c r="L29" s="46" t="str">
        <v>귀환석의 기억</v>
      </c>
      <c r="M29" s="47">
        <v>272</v>
      </c>
      <c r="N29" s="36"/>
      <c r="O29" s="36"/>
      <c r="P29" s="37"/>
      <c r="S29" s="29"/>
      <c r="X29" s="11" t="s">
        <v>85</v>
      </c>
      <c r="Y29" s="8" t="s">
        <v>57</v>
      </c>
      <c r="AA29" s="71">
        <f>Sheet2!P37</f>
        <v>80</v>
      </c>
    </row>
    <row r="30" spans="2:27">
      <c r="B30" s="45" t="str">
        <v>5. 초급 포션</v>
      </c>
      <c r="C30" s="46" t="str">
        <v>+단 열매+쓴 열매+철</v>
      </c>
      <c r="D30" s="46">
        <v>0</v>
      </c>
      <c r="E30" s="47">
        <v>64</v>
      </c>
      <c r="F30" s="36"/>
      <c r="G30" s="36"/>
      <c r="H30" s="36"/>
      <c r="I30" s="36"/>
      <c r="J30" s="53" t="str">
        <v>2. 총+총알</v>
      </c>
      <c r="K30" s="46" t="str">
        <v>+총+총알</v>
      </c>
      <c r="L30" s="46">
        <v>0</v>
      </c>
      <c r="M30" s="47">
        <v>368</v>
      </c>
      <c r="N30" s="36"/>
      <c r="O30" s="36"/>
      <c r="P30" s="37"/>
      <c r="S30" s="29"/>
      <c r="X30" s="11" t="s">
        <v>86</v>
      </c>
      <c r="Y30" s="8" t="s">
        <v>58</v>
      </c>
      <c r="AA30" s="71">
        <f>Sheet2!U37</f>
        <v>148</v>
      </c>
    </row>
    <row r="31" spans="2:27">
      <c r="B31" s="45">
        <v>0</v>
      </c>
      <c r="C31" s="46">
        <v>0</v>
      </c>
      <c r="D31" s="46">
        <v>0</v>
      </c>
      <c r="E31" s="47" t="e">
        <v>#N/A</v>
      </c>
      <c r="F31" s="36"/>
      <c r="G31" s="36"/>
      <c r="H31" s="36"/>
      <c r="I31" s="36"/>
      <c r="J31" s="53">
        <v>0</v>
      </c>
      <c r="K31" s="46">
        <v>0</v>
      </c>
      <c r="L31" s="46">
        <v>0</v>
      </c>
      <c r="M31" s="47" t="e">
        <v>#N/A</v>
      </c>
      <c r="N31" s="36"/>
      <c r="O31" s="36"/>
      <c r="P31" s="37"/>
      <c r="S31" s="29"/>
      <c r="X31" s="11"/>
      <c r="AA31" s="71" t="e">
        <f>Sheet2!Z37</f>
        <v>#N/A</v>
      </c>
    </row>
    <row r="32" spans="2:27">
      <c r="B32" s="45">
        <v>0</v>
      </c>
      <c r="C32" s="46">
        <v>0</v>
      </c>
      <c r="D32" s="46">
        <v>0</v>
      </c>
      <c r="E32" s="47" t="e">
        <v>#N/A</v>
      </c>
      <c r="F32" s="36"/>
      <c r="G32" s="36"/>
      <c r="H32" s="36"/>
      <c r="I32" s="36"/>
      <c r="J32" s="53">
        <v>0</v>
      </c>
      <c r="K32" s="46">
        <v>0</v>
      </c>
      <c r="L32" s="46">
        <v>0</v>
      </c>
      <c r="M32" s="47" t="e">
        <v>#N/A</v>
      </c>
      <c r="N32" s="36"/>
      <c r="O32" s="36"/>
      <c r="P32" s="37"/>
      <c r="S32" s="29"/>
      <c r="X32" s="11"/>
      <c r="AA32" s="71" t="e">
        <f>Sheet2!AE37</f>
        <v>#N/A</v>
      </c>
    </row>
    <row r="33" spans="2:27">
      <c r="B33" s="45">
        <v>0</v>
      </c>
      <c r="C33" s="46">
        <v>0</v>
      </c>
      <c r="D33" s="46">
        <v>0</v>
      </c>
      <c r="E33" s="47" t="e">
        <v>#N/A</v>
      </c>
      <c r="F33" s="36"/>
      <c r="G33" s="36"/>
      <c r="H33" s="36"/>
      <c r="I33" s="36"/>
      <c r="J33" s="53">
        <v>0</v>
      </c>
      <c r="K33" s="46">
        <v>0</v>
      </c>
      <c r="L33" s="46">
        <v>0</v>
      </c>
      <c r="M33" s="47" t="e">
        <v>#N/A</v>
      </c>
      <c r="N33" s="36"/>
      <c r="O33" s="36"/>
      <c r="P33" s="37"/>
      <c r="S33" s="29"/>
      <c r="X33" s="11"/>
      <c r="AA33" s="71" t="e">
        <f>Sheet2!AJ37</f>
        <v>#N/A</v>
      </c>
    </row>
    <row r="34" spans="2:27">
      <c r="B34" s="45">
        <v>0</v>
      </c>
      <c r="C34" s="46">
        <v>0</v>
      </c>
      <c r="D34" s="46">
        <v>0</v>
      </c>
      <c r="E34" s="47" t="e">
        <v>#N/A</v>
      </c>
      <c r="F34" s="36"/>
      <c r="G34" s="36"/>
      <c r="H34" s="36"/>
      <c r="I34" s="36"/>
      <c r="J34" s="53">
        <v>0</v>
      </c>
      <c r="K34" s="46">
        <v>0</v>
      </c>
      <c r="L34" s="46">
        <v>0</v>
      </c>
      <c r="M34" s="47" t="e">
        <v>#N/A</v>
      </c>
      <c r="N34" s="36"/>
      <c r="O34" s="36"/>
      <c r="P34" s="37"/>
      <c r="S34" s="29"/>
      <c r="X34" s="11"/>
      <c r="AA34" s="71" t="e">
        <f>Sheet2!F49</f>
        <v>#N/A</v>
      </c>
    </row>
    <row r="35" spans="2:27">
      <c r="B35" s="45">
        <v>0</v>
      </c>
      <c r="C35" s="46">
        <v>0</v>
      </c>
      <c r="D35" s="46">
        <v>0</v>
      </c>
      <c r="E35" s="47" t="e">
        <v>#N/A</v>
      </c>
      <c r="F35" s="36"/>
      <c r="G35" s="36"/>
      <c r="H35" s="36"/>
      <c r="I35" s="36"/>
      <c r="J35" s="53">
        <v>0</v>
      </c>
      <c r="K35" s="46">
        <v>0</v>
      </c>
      <c r="L35" s="46">
        <v>0</v>
      </c>
      <c r="M35" s="47" t="e">
        <v>#N/A</v>
      </c>
      <c r="N35" s="36"/>
      <c r="O35" s="36"/>
      <c r="P35" s="37"/>
      <c r="S35" s="29"/>
      <c r="X35" s="11"/>
      <c r="AA35" s="71" t="e">
        <f>Sheet2!K49</f>
        <v>#N/A</v>
      </c>
    </row>
    <row r="36" spans="2:27">
      <c r="B36" s="45">
        <v>0</v>
      </c>
      <c r="C36" s="46">
        <v>0</v>
      </c>
      <c r="D36" s="46">
        <v>0</v>
      </c>
      <c r="E36" s="47" t="e">
        <v>#N/A</v>
      </c>
      <c r="F36" s="36"/>
      <c r="G36" s="36"/>
      <c r="H36" s="36"/>
      <c r="I36" s="36"/>
      <c r="J36" s="53">
        <v>0</v>
      </c>
      <c r="K36" s="46">
        <v>0</v>
      </c>
      <c r="L36" s="46">
        <v>0</v>
      </c>
      <c r="M36" s="47" t="e">
        <v>#N/A</v>
      </c>
      <c r="N36" s="36"/>
      <c r="O36" s="36"/>
      <c r="P36" s="37"/>
      <c r="S36" s="29"/>
      <c r="X36" s="11"/>
      <c r="AA36" s="71" t="e">
        <f>Sheet2!P49</f>
        <v>#N/A</v>
      </c>
    </row>
    <row r="37" spans="2:27">
      <c r="B37" s="45">
        <v>0</v>
      </c>
      <c r="C37" s="46">
        <v>0</v>
      </c>
      <c r="D37" s="46">
        <v>0</v>
      </c>
      <c r="E37" s="47" t="e">
        <v>#N/A</v>
      </c>
      <c r="F37" s="36"/>
      <c r="G37" s="36"/>
      <c r="H37" s="36"/>
      <c r="I37" s="36"/>
      <c r="J37" s="53">
        <v>0</v>
      </c>
      <c r="K37" s="46">
        <v>0</v>
      </c>
      <c r="L37" s="46">
        <v>0</v>
      </c>
      <c r="M37" s="47" t="e">
        <v>#N/A</v>
      </c>
      <c r="N37" s="36"/>
      <c r="O37" s="36"/>
      <c r="P37" s="37"/>
      <c r="S37" s="29"/>
      <c r="X37" s="11"/>
      <c r="AA37" s="71" t="e">
        <f>Sheet2!U49</f>
        <v>#N/A</v>
      </c>
    </row>
    <row r="38" spans="2:27">
      <c r="B38" s="45">
        <v>0</v>
      </c>
      <c r="C38" s="46">
        <v>0</v>
      </c>
      <c r="D38" s="46">
        <v>0</v>
      </c>
      <c r="E38" s="47" t="e">
        <v>#N/A</v>
      </c>
      <c r="F38" s="36"/>
      <c r="G38" s="36"/>
      <c r="H38" s="36"/>
      <c r="I38" s="36"/>
      <c r="J38" s="53">
        <v>0</v>
      </c>
      <c r="K38" s="46">
        <v>0</v>
      </c>
      <c r="L38" s="46">
        <v>0</v>
      </c>
      <c r="M38" s="47" t="e">
        <v>#N/A</v>
      </c>
      <c r="N38" s="36"/>
      <c r="O38" s="36"/>
      <c r="P38" s="37"/>
      <c r="S38" s="29"/>
      <c r="X38" s="11"/>
      <c r="AA38" s="71" t="e">
        <f>Sheet2!Z49</f>
        <v>#N/A</v>
      </c>
    </row>
    <row r="39" spans="2:27">
      <c r="B39" s="45">
        <v>0</v>
      </c>
      <c r="C39" s="46">
        <v>0</v>
      </c>
      <c r="D39" s="46">
        <v>0</v>
      </c>
      <c r="E39" s="47" t="e">
        <v>#N/A</v>
      </c>
      <c r="F39" s="36"/>
      <c r="G39" s="36"/>
      <c r="H39" s="36"/>
      <c r="I39" s="36"/>
      <c r="J39" s="53">
        <v>0</v>
      </c>
      <c r="K39" s="46">
        <v>0</v>
      </c>
      <c r="L39" s="46">
        <v>0</v>
      </c>
      <c r="M39" s="47" t="e">
        <v>#N/A</v>
      </c>
      <c r="N39" s="36"/>
      <c r="O39" s="36"/>
      <c r="P39" s="37"/>
      <c r="S39" s="29"/>
      <c r="X39" s="11"/>
      <c r="AA39" s="71" t="e">
        <f>Sheet2!AE49</f>
        <v>#N/A</v>
      </c>
    </row>
    <row r="40" spans="2:27">
      <c r="B40" s="49">
        <v>0</v>
      </c>
      <c r="C40" s="50">
        <v>0</v>
      </c>
      <c r="D40" s="50">
        <v>0</v>
      </c>
      <c r="E40" s="51" t="e">
        <v>#N/A</v>
      </c>
      <c r="F40" s="36"/>
      <c r="G40" s="36"/>
      <c r="H40" s="36"/>
      <c r="I40" s="36"/>
      <c r="J40" s="54">
        <v>0</v>
      </c>
      <c r="K40" s="50">
        <v>0</v>
      </c>
      <c r="L40" s="50">
        <v>0</v>
      </c>
      <c r="M40" s="51" t="e">
        <v>#N/A</v>
      </c>
      <c r="N40" s="36"/>
      <c r="O40" s="36"/>
      <c r="P40" s="37"/>
      <c r="S40" s="29"/>
      <c r="X40" s="12"/>
      <c r="Y40" s="13"/>
      <c r="Z40" s="13"/>
      <c r="AA40" s="72" t="e">
        <f>Sheet2!AJ49</f>
        <v>#N/A</v>
      </c>
    </row>
    <row r="41" spans="2:27"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7"/>
      <c r="S41" s="29"/>
      <c r="AA41" s="30"/>
    </row>
    <row r="42" spans="2:27"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7"/>
      <c r="S42" s="29"/>
      <c r="AA42" s="30"/>
    </row>
    <row r="43" spans="2:27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7"/>
      <c r="S43" s="29"/>
      <c r="AA43" s="30"/>
    </row>
    <row r="44" spans="2:27"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7"/>
      <c r="S44" s="29"/>
      <c r="AA44" s="30"/>
    </row>
    <row r="45" spans="2:27"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7"/>
      <c r="S45" s="29"/>
      <c r="AA45" s="30"/>
    </row>
    <row r="46" spans="2:27"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7"/>
      <c r="S46" s="29"/>
      <c r="AA46" s="30"/>
    </row>
    <row r="47" spans="2:27"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  <c r="S47" s="29"/>
      <c r="AA47" s="30"/>
    </row>
    <row r="48" spans="2:27"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  <c r="S48" s="29"/>
      <c r="AA48" s="30"/>
    </row>
    <row r="49" spans="2:27"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7"/>
      <c r="S49" s="29"/>
      <c r="AA49" s="30"/>
    </row>
    <row r="50" spans="2:27"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/>
      <c r="S50" s="29"/>
      <c r="AA50" s="30"/>
    </row>
    <row r="51" spans="2:27" ht="17.250000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1"/>
      <c r="S51" s="32"/>
      <c r="T51" s="33"/>
      <c r="U51" s="33"/>
      <c r="V51" s="33"/>
      <c r="W51" s="33"/>
      <c r="X51" s="33"/>
      <c r="Y51" s="73"/>
      <c r="Z51" s="73"/>
      <c r="AA51" s="34"/>
    </row>
  </sheetData>
  <sortState ref="J5:L18">
    <sortCondition descending="1" ref="J4:J18"/>
  </sortState>
  <mergeCells count="8">
    <mergeCell ref="B1:P1"/>
    <mergeCell ref="S1:AA1"/>
    <mergeCell ref="B3:E3"/>
    <mergeCell ref="G3:H3"/>
    <mergeCell ref="J3:M3"/>
    <mergeCell ref="O3:P3"/>
    <mergeCell ref="S3:V3"/>
    <mergeCell ref="X3:AA3"/>
  </mergeCells>
  <phoneticPr fontId="1" type="noConversion"/>
  <conditionalFormatting sqref="A1:B1 Q1:S1 AB1:XFD1 A2:XFD2 A3:F8 I3:N3 Q3:XFD6 I4:P6 G5:H9 I7:XFD8 A9:XFD1048576">
    <cfRule type="beginsWith" dxfId="9" priority="1" operator="beginsWith">
      <formula>LEFT(A1,LEN("5."))="5."</formula>
    </cfRule>
    <cfRule type="beginsWith" dxfId="8" priority="2" operator="beginsWith">
      <formula>LEFT(A1,LEN("4."))="4."</formula>
    </cfRule>
    <cfRule type="beginsWith" dxfId="7" priority="3" operator="beginsWith">
      <formula>LEFT(A1,LEN("3."))="3."</formula>
    </cfRule>
    <cfRule type="beginsWith" dxfId="6" priority="4" operator="beginsWith">
      <formula>LEFT(A1,LEN("2."))="2."</formula>
    </cfRule>
    <cfRule type="beginsWith" dxfId="5" priority="5" operator="beginsWith">
      <formula>LEFT(A1,LEN("1."))="1."</formula>
    </cfRule>
  </conditionalFormatting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9"/>
  <sheetViews>
    <sheetView zoomScale="55" zoomScaleNormal="55" workbookViewId="0">
      <selection activeCell="AD34" sqref="AD34"/>
    </sheetView>
  </sheetViews>
  <sheetFormatPr defaultRowHeight="16.500000"/>
  <cols>
    <col min="2" max="2" style="18" width="8.63000011" customWidth="1" outlineLevel="0"/>
    <col min="3" max="3" width="14.38000011" customWidth="1" outlineLevel="0"/>
    <col min="4" max="4" width="12.75500011" customWidth="1" outlineLevel="0"/>
    <col min="5" max="5" style="18" width="17.62999916" customWidth="1" outlineLevel="0"/>
    <col min="6" max="6" width="15.88000011" customWidth="1" outlineLevel="0"/>
    <col min="8" max="8" width="15.38000011" customWidth="1" outlineLevel="0"/>
    <col min="9" max="9" width="13.63000011" customWidth="1" outlineLevel="0"/>
    <col min="10" max="10" width="9.63000011" customWidth="1" outlineLevel="0"/>
    <col min="11" max="11" width="19.75499916" customWidth="1" outlineLevel="0"/>
    <col min="13" max="13" width="21.87999916" customWidth="1" outlineLevel="0"/>
    <col min="18" max="18" width="14.88000011" customWidth="1" outlineLevel="0"/>
    <col min="23" max="23" width="11.13000011" customWidth="1" outlineLevel="0"/>
    <col min="38" max="38" width="25.12999916" customWidth="1" outlineLevel="0"/>
  </cols>
  <sheetData>
    <row r="1" spans="1:50" ht="17.500000">
      <c r="A1" s="16" t="str">
        <f>표!S5</f>
        <v>나무</v>
      </c>
      <c r="B1" s="18">
        <f>표!T5</f>
        <v>16</v>
      </c>
      <c r="C1" s="7" t="str">
        <f>표!Y5</f>
        <v>+천</v>
      </c>
      <c r="D1" s="4" t="str">
        <f>TRIM(MID(SUBSTITUTE($C$1,"+",REPT(" ",LEN($C$1))),(ROW()-ROW($D$1)+1)*LEN($C$1),LEN($C$1)))</f>
        <v>천</v>
      </c>
      <c r="E1" s="17">
        <f>IF(D1&lt;&gt;"",VLOOKUP(D1,$A$1:$B$130,2,FALSE),0)</f>
        <v>80</v>
      </c>
      <c r="F1" s="20">
        <f>SUM(E1:E10)</f>
        <v>80</v>
      </c>
      <c r="H1" s="7" t="str">
        <f>표!Y6</f>
        <v>+전기부품+철+황동</v>
      </c>
      <c r="I1" s="4" t="str">
        <f>TRIM(MID(SUBSTITUTE($H$1,"+",REPT(" ",LEN($H$1))),(ROW()-ROW($I$1)+1)*LEN($H$1),LEN($H$1)))</f>
        <v>전기부품</v>
      </c>
      <c r="J1" s="4">
        <f>IF(I1&lt;&gt;"",VLOOKUP(I1,$A$1:$B$130,2,FALSE),0)</f>
        <v>96</v>
      </c>
      <c r="K1" s="5">
        <f>SUM(J1:J10)</f>
        <v>192</v>
      </c>
      <c r="M1" s="7" t="str">
        <f>표!Y7</f>
        <v>+천+전기부품+철</v>
      </c>
      <c r="N1" s="4" t="str">
        <f>TRIM(MID(SUBSTITUTE($M$1,"+",REPT(" ",LEN($M$1))),(ROW()-ROW($N$1)+1)*LEN($M$1),LEN($M$1)))</f>
        <v>천</v>
      </c>
      <c r="O1" s="4">
        <f>IF(N1&lt;&gt;"",VLOOKUP(N1,$A$1:$B$130,2,FALSE),0)</f>
        <v>80</v>
      </c>
      <c r="P1" s="5">
        <f>SUM(O1:O10)</f>
        <v>208</v>
      </c>
      <c r="R1" s="7" t="str">
        <f>표!Y8</f>
        <v>+천+전기부품+황동</v>
      </c>
      <c r="S1" s="4" t="str">
        <f>TRIM(MID(SUBSTITUTE($R$1,"+",REPT(" ",LEN($R$1))),(ROW()-ROW($S$1)+1)*LEN($R$1),LEN($R$1)))</f>
        <v>천</v>
      </c>
      <c r="T1" s="4">
        <f>IF(S1&lt;&gt;"",VLOOKUP(S1,$A$1:$B$130,2,FALSE),0)</f>
        <v>80</v>
      </c>
      <c r="U1" s="5">
        <f>SUM(T1:T10)</f>
        <v>240</v>
      </c>
      <c r="W1" s="7" t="str">
        <f>표!Y9</f>
        <v>+실+나무+철</v>
      </c>
      <c r="X1" s="4" t="str">
        <f>TRIM(MID(SUBSTITUTE($W$1,"+",REPT(" ",LEN($W$1))),(ROW()-ROW($X$1)+1)*LEN($W$1),LEN($W$1)))</f>
        <v>실</v>
      </c>
      <c r="Y1" s="4">
        <f>IF(X1&lt;&gt;"",VLOOKUP(X1,$A$1:$B$130,2,FALSE),0)</f>
        <v>64</v>
      </c>
      <c r="Z1" s="5">
        <f>SUM(Y1:Y10)</f>
        <v>112</v>
      </c>
      <c r="AB1" s="7" t="str">
        <f>표!Y10</f>
        <v>+실+나무+황동</v>
      </c>
      <c r="AC1" s="4" t="str">
        <f>TRIM(MID(SUBSTITUTE($AB$1,"+",REPT(" ",LEN($AB$1))),(ROW()-ROW($AC$1)+1)*LEN($AB$1),LEN($AB$1)))</f>
        <v>실</v>
      </c>
      <c r="AD1" s="4">
        <f>IF(AC1&lt;&gt;"",VLOOKUP(AC1,$A$1:$B$130,2,FALSE),0)</f>
        <v>64</v>
      </c>
      <c r="AE1" s="5">
        <f>SUM(AD1:AD10)</f>
        <v>144</v>
      </c>
      <c r="AG1" s="7" t="str">
        <f>표!Y11</f>
        <v>+실+나무+철</v>
      </c>
      <c r="AH1" s="4" t="str">
        <f>TRIM(MID(SUBSTITUTE($AG$1,"+",REPT(" ",LEN($AG$1))),(ROW()-ROW($AH$1)+1)*LEN($AG$1),LEN($AG$1)))</f>
        <v>실</v>
      </c>
      <c r="AI1" s="4">
        <f>IF(AH1&lt;&gt;"",VLOOKUP(AH1,$A$1:$B$130,2,FALSE),0)</f>
        <v>64</v>
      </c>
      <c r="AJ1" s="5">
        <f>SUM(AI1:AI10)</f>
        <v>112</v>
      </c>
    </row>
    <row r="2" spans="1:50" ht="17.500000">
      <c r="A2" s="16" t="str">
        <f>표!S6</f>
        <v>단 열매</v>
      </c>
      <c r="B2" s="18">
        <f>표!T6</f>
        <v>16</v>
      </c>
      <c r="C2" s="9"/>
      <c r="D2" s="2" t="str">
        <f>TRIM(MID(SUBSTITUTE($C$1,"+",REPT(" ",LEN($C$1))),(ROW()-ROW($D$1)+1)*LEN($C$1),LEN($C$1)))</f>
        <v/>
      </c>
      <c r="E2" s="17">
        <f>IF(D2&lt;&gt;"",VLOOKUP(D2,$A$1:$B$130,2,FALSE),0)</f>
        <v>0</v>
      </c>
      <c r="F2" s="23"/>
      <c r="H2" s="9"/>
      <c r="I2" s="4" t="str">
        <f>TRIM(MID(SUBSTITUTE($H$1,"+",REPT(" ",LEN($H$1))),(ROW()-ROW($I$1)+1)*LEN($H$1),LEN($H$1)))</f>
        <v>철</v>
      </c>
      <c r="J2" s="4">
        <f>IF(I2&lt;&gt;"",VLOOKUP(I2,$A$1:$B$130,2,FALSE),0)</f>
        <v>32</v>
      </c>
      <c r="K2" s="6"/>
      <c r="M2" s="9"/>
      <c r="N2" s="4" t="str">
        <f>TRIM(MID(SUBSTITUTE($M$1,"+",REPT(" ",LEN($M$1))),(ROW()-ROW($N$1)+1)*LEN($M$1),LEN($M$1)))</f>
        <v>전기부품</v>
      </c>
      <c r="O2" s="4">
        <f>IF(N2&lt;&gt;"",VLOOKUP(N2,$A$1:$B$130,2,FALSE),0)</f>
        <v>96</v>
      </c>
      <c r="P2" s="6"/>
      <c r="S2" s="4" t="str">
        <f>TRIM(MID(SUBSTITUTE($R$1,"+",REPT(" ",LEN($R$1))),(ROW()-ROW($S$1)+1)*LEN($R$1),LEN($R$1)))</f>
        <v>전기부품</v>
      </c>
      <c r="T2" s="4">
        <f>IF(S2&lt;&gt;"",VLOOKUP(S2,$A$1:$B$130,2,FALSE),0)</f>
        <v>96</v>
      </c>
      <c r="U2" s="5"/>
      <c r="X2" s="4" t="str">
        <f>TRIM(MID(SUBSTITUTE($W$1,"+",REPT(" ",LEN($W$1))),(ROW()-ROW($X$1)+1)*LEN($W$1),LEN($W$1)))</f>
        <v>나무</v>
      </c>
      <c r="Y2" s="4">
        <f>IF(X2&lt;&gt;"",VLOOKUP(X2,$A$1:$B$130,2,FALSE),0)</f>
        <v>16</v>
      </c>
      <c r="AC2" s="4" t="str">
        <f>TRIM(MID(SUBSTITUTE($AB$1,"+",REPT(" ",LEN($AB$1))),(ROW()-ROW($AC$1)+1)*LEN($AB$1),LEN($AB$1)))</f>
        <v>나무</v>
      </c>
      <c r="AD2" s="4">
        <f>IF(AC2&lt;&gt;"",VLOOKUP(AC2,$A$1:$B$130,2,FALSE),0)</f>
        <v>16</v>
      </c>
      <c r="AH2" s="4" t="str">
        <f>TRIM(MID(SUBSTITUTE($AG$1,"+",REPT(" ",LEN($AG$1))),(ROW()-ROW($AH$1)+1)*LEN($AG$1),LEN($AG$1)))</f>
        <v>나무</v>
      </c>
      <c r="AI2" s="4">
        <f>IF(AH2&lt;&gt;"",VLOOKUP(AH2,$A$1:$B$130,2,FALSE),0)</f>
        <v>16</v>
      </c>
    </row>
    <row r="3" spans="1:50" ht="17.500000">
      <c r="A3" s="16" t="str">
        <f>표!S7</f>
        <v>쓴 열매</v>
      </c>
      <c r="B3" s="18">
        <f>표!T7</f>
        <v>16</v>
      </c>
      <c r="C3" s="9"/>
      <c r="D3" s="2" t="str">
        <f>TRIM(MID(SUBSTITUTE($C$1,"+",REPT(" ",LEN($C$1))),(ROW()-ROW($D$1)+1)*LEN($C$1),LEN($C$1)))</f>
        <v/>
      </c>
      <c r="E3" s="17">
        <f>IF(D3&lt;&gt;"",VLOOKUP(D3,$A$1:$B$130,2,FALSE),0)</f>
        <v>0</v>
      </c>
      <c r="F3" s="23"/>
      <c r="H3" s="9"/>
      <c r="I3" s="4" t="str">
        <f>TRIM(MID(SUBSTITUTE($H$1,"+",REPT(" ",LEN($H$1))),(ROW()-ROW($I$1)+1)*LEN($H$1),LEN($H$1)))</f>
        <v>황동</v>
      </c>
      <c r="J3" s="4">
        <f>IF(I3&lt;&gt;"",VLOOKUP(I3,$A$1:$B$130,2,FALSE),0)</f>
        <v>64</v>
      </c>
      <c r="K3" s="6"/>
      <c r="M3" s="9"/>
      <c r="N3" s="4" t="str">
        <f>TRIM(MID(SUBSTITUTE($M$1,"+",REPT(" ",LEN($M$1))),(ROW()-ROW($N$1)+1)*LEN($M$1),LEN($M$1)))</f>
        <v>철</v>
      </c>
      <c r="O3" s="4">
        <f>IF(N3&lt;&gt;"",VLOOKUP(N3,$A$1:$B$130,2,FALSE),0)</f>
        <v>32</v>
      </c>
      <c r="P3" s="6"/>
      <c r="S3" s="4" t="str">
        <f>TRIM(MID(SUBSTITUTE($R$1,"+",REPT(" ",LEN($R$1))),(ROW()-ROW($S$1)+1)*LEN($R$1),LEN($R$1)))</f>
        <v>황동</v>
      </c>
      <c r="T3" s="4">
        <f>IF(S3&lt;&gt;"",VLOOKUP(S3,$A$1:$B$130,2,FALSE),0)</f>
        <v>64</v>
      </c>
      <c r="U3" s="5"/>
      <c r="X3" s="4" t="str">
        <f>TRIM(MID(SUBSTITUTE($W$1,"+",REPT(" ",LEN($W$1))),(ROW()-ROW($X$1)+1)*LEN($W$1),LEN($W$1)))</f>
        <v>철</v>
      </c>
      <c r="Y3" s="4">
        <f>IF(X3&lt;&gt;"",VLOOKUP(X3,$A$1:$B$130,2,FALSE),0)</f>
        <v>32</v>
      </c>
      <c r="AC3" s="4" t="str">
        <f>TRIM(MID(SUBSTITUTE($AB$1,"+",REPT(" ",LEN($AB$1))),(ROW()-ROW($AC$1)+1)*LEN($AB$1),LEN($AB$1)))</f>
        <v>황동</v>
      </c>
      <c r="AD3" s="4">
        <f>IF(AC3&lt;&gt;"",VLOOKUP(AC3,$A$1:$B$130,2,FALSE),0)</f>
        <v>64</v>
      </c>
      <c r="AH3" s="4" t="str">
        <f>TRIM(MID(SUBSTITUTE($AG$1,"+",REPT(" ",LEN($AG$1))),(ROW()-ROW($AH$1)+1)*LEN($AG$1),LEN($AG$1)))</f>
        <v>철</v>
      </c>
      <c r="AI3" s="4">
        <f>IF(AH3&lt;&gt;"",VLOOKUP(AH3,$A$1:$B$130,2,FALSE),0)</f>
        <v>32</v>
      </c>
    </row>
    <row r="4" spans="1:50" ht="17.500000">
      <c r="A4" s="16" t="str">
        <f>표!S8</f>
        <v>작은 물고기</v>
      </c>
      <c r="B4" s="18">
        <f>표!T8</f>
        <v>16</v>
      </c>
      <c r="C4" s="9"/>
      <c r="D4" s="2" t="str">
        <f>TRIM(MID(SUBSTITUTE($C$1,"+",REPT(" ",LEN($C$1))),(ROW()-ROW($D$1)+1)*LEN($C$1),LEN($C$1)))</f>
        <v/>
      </c>
      <c r="E4" s="17">
        <f>IF(D4&lt;&gt;"",VLOOKUP(D4,$A$1:$B$130,2,FALSE),0)</f>
        <v>0</v>
      </c>
      <c r="F4" s="6"/>
      <c r="H4" s="9"/>
      <c r="I4" s="4" t="str">
        <f>TRIM(MID(SUBSTITUTE($H$1,"+",REPT(" ",LEN($H$1))),(ROW()-ROW($I$1)+1)*LEN($H$1),LEN($H$1)))</f>
        <v/>
      </c>
      <c r="J4" s="4">
        <f>IF(I4&lt;&gt;"",VLOOKUP(I4,$A$1:$B$130,2,FALSE),0)</f>
        <v>0</v>
      </c>
      <c r="K4" s="6"/>
      <c r="M4" s="9"/>
      <c r="N4" s="4" t="str">
        <f>TRIM(MID(SUBSTITUTE($M$1,"+",REPT(" ",LEN($M$1))),(ROW()-ROW($N$1)+1)*LEN($M$1),LEN($M$1)))</f>
        <v/>
      </c>
      <c r="O4" s="4">
        <f>IF(N4&lt;&gt;"",VLOOKUP(N4,$A$1:$B$130,2,FALSE),0)</f>
        <v>0</v>
      </c>
      <c r="P4" s="6"/>
      <c r="S4" s="4" t="str">
        <f>TRIM(MID(SUBSTITUTE($R$1,"+",REPT(" ",LEN($R$1))),(ROW()-ROW($S$1)+1)*LEN($R$1),LEN($R$1)))</f>
        <v/>
      </c>
      <c r="T4" s="4">
        <f>IF(S4&lt;&gt;"",VLOOKUP(S4,$A$1:$B$130,2,FALSE),0)</f>
        <v>0</v>
      </c>
      <c r="U4" s="5"/>
      <c r="X4" s="4" t="str">
        <f>TRIM(MID(SUBSTITUTE($W$1,"+",REPT(" ",LEN($W$1))),(ROW()-ROW($X$1)+1)*LEN($W$1),LEN($W$1)))</f>
        <v/>
      </c>
      <c r="Y4" s="4">
        <f>IF(X4&lt;&gt;"",VLOOKUP(X4,$A$1:$B$130,2,FALSE),0)</f>
        <v>0</v>
      </c>
      <c r="AC4" s="4" t="str">
        <f>TRIM(MID(SUBSTITUTE($AB$1,"+",REPT(" ",LEN($AB$1))),(ROW()-ROW($AC$1)+1)*LEN($AB$1),LEN($AB$1)))</f>
        <v/>
      </c>
      <c r="AD4" s="4">
        <f>IF(AC4&lt;&gt;"",VLOOKUP(AC4,$A$1:$B$130,2,FALSE),0)</f>
        <v>0</v>
      </c>
      <c r="AH4" s="4" t="str">
        <f>TRIM(MID(SUBSTITUTE($AG$1,"+",REPT(" ",LEN($AG$1))),(ROW()-ROW($AH$1)+1)*LEN($AG$1),LEN($AG$1)))</f>
        <v/>
      </c>
      <c r="AI4" s="4">
        <f>IF(AH4&lt;&gt;"",VLOOKUP(AH4,$A$1:$B$130,2,FALSE),0)</f>
        <v>0</v>
      </c>
    </row>
    <row r="5" spans="1:50" ht="17.500000">
      <c r="A5" s="0" t="str">
        <f>표!U5</f>
        <v>실</v>
      </c>
      <c r="B5" s="18">
        <f>표!V5</f>
        <v>64</v>
      </c>
      <c r="C5" s="9"/>
      <c r="D5" s="2" t="str">
        <f>TRIM(MID(SUBSTITUTE($C$1,"+",REPT(" ",LEN($C$1))),(ROW()-ROW($D$1)+1)*LEN($C$1),LEN($C$1)))</f>
        <v/>
      </c>
      <c r="E5" s="17">
        <f>IF(D5&lt;&gt;"",VLOOKUP(D5,$A$1:$B$130,2,FALSE),0)</f>
        <v>0</v>
      </c>
      <c r="F5" s="23"/>
      <c r="H5" s="9"/>
      <c r="I5" s="4" t="str">
        <f>TRIM(MID(SUBSTITUTE($H$1,"+",REPT(" ",LEN($H$1))),(ROW()-ROW($I$1)+1)*LEN($H$1),LEN($H$1)))</f>
        <v/>
      </c>
      <c r="J5" s="4">
        <f>IF(I5&lt;&gt;"",VLOOKUP(I5,$A$1:$B$130,2,FALSE),0)</f>
        <v>0</v>
      </c>
      <c r="K5" s="6"/>
      <c r="M5" s="9"/>
      <c r="N5" s="4" t="str">
        <f>TRIM(MID(SUBSTITUTE($M$1,"+",REPT(" ",LEN($M$1))),(ROW()-ROW($N$1)+1)*LEN($M$1),LEN($M$1)))</f>
        <v/>
      </c>
      <c r="O5" s="4">
        <f>IF(N5&lt;&gt;"",VLOOKUP(N5,$A$1:$B$130,2,FALSE),0)</f>
        <v>0</v>
      </c>
      <c r="P5" s="6"/>
      <c r="S5" s="4" t="str">
        <f>TRIM(MID(SUBSTITUTE($R$1,"+",REPT(" ",LEN($R$1))),(ROW()-ROW($S$1)+1)*LEN($R$1),LEN($R$1)))</f>
        <v/>
      </c>
      <c r="T5" s="4">
        <f>IF(S5&lt;&gt;"",VLOOKUP(S5,$A$1:$B$130,2,FALSE),0)</f>
        <v>0</v>
      </c>
      <c r="U5" s="5"/>
      <c r="X5" s="4" t="str">
        <f>TRIM(MID(SUBSTITUTE($W$1,"+",REPT(" ",LEN($W$1))),(ROW()-ROW($X$1)+1)*LEN($W$1),LEN($W$1)))</f>
        <v/>
      </c>
      <c r="Y5" s="4">
        <f>IF(X5&lt;&gt;"",VLOOKUP(X5,$A$1:$B$130,2,FALSE),0)</f>
        <v>0</v>
      </c>
      <c r="AC5" s="4" t="str">
        <f>TRIM(MID(SUBSTITUTE($AB$1,"+",REPT(" ",LEN($AB$1))),(ROW()-ROW($AC$1)+1)*LEN($AB$1),LEN($AB$1)))</f>
        <v/>
      </c>
      <c r="AD5" s="4">
        <f>IF(AC5&lt;&gt;"",VLOOKUP(AC5,$A$1:$B$130,2,FALSE),0)</f>
        <v>0</v>
      </c>
      <c r="AH5" s="4" t="str">
        <f>TRIM(MID(SUBSTITUTE($AG$1,"+",REPT(" ",LEN($AG$1))),(ROW()-ROW($AH$1)+1)*LEN($AG$1),LEN($AG$1)))</f>
        <v/>
      </c>
      <c r="AI5" s="4">
        <f>IF(AH5&lt;&gt;"",VLOOKUP(AH5,$A$1:$B$130,2,FALSE),0)</f>
        <v>0</v>
      </c>
      <c r="AW5" s="104" t="s">
        <v>98</v>
      </c>
      <c r="AX5" s="105"/>
    </row>
    <row r="6" spans="1:50" ht="17.500000">
      <c r="A6" s="0" t="str">
        <f>표!U6</f>
        <v>천</v>
      </c>
      <c r="B6" s="18">
        <f>표!V6</f>
        <v>80</v>
      </c>
      <c r="C6" s="9"/>
      <c r="D6" s="2" t="str">
        <f>TRIM(MID(SUBSTITUTE($C$1,"+",REPT(" ",LEN($C$1))),(ROW()-ROW($D$1)+1)*LEN($C$1),LEN($C$1)))</f>
        <v/>
      </c>
      <c r="E6" s="17">
        <f>IF(D6&lt;&gt;"",VLOOKUP(D6,$A$1:$B$130,2,FALSE),0)</f>
        <v>0</v>
      </c>
      <c r="F6" s="6"/>
      <c r="H6" s="9"/>
      <c r="I6" s="4" t="str">
        <f>TRIM(MID(SUBSTITUTE($H$1,"+",REPT(" ",LEN($H$1))),(ROW()-ROW($I$1)+1)*LEN($H$1),LEN($H$1)))</f>
        <v/>
      </c>
      <c r="J6" s="4">
        <f>IF(I6&lt;&gt;"",VLOOKUP(I6,$A$1:$B$130,2,FALSE),0)</f>
        <v>0</v>
      </c>
      <c r="K6" s="6"/>
      <c r="M6" s="9"/>
      <c r="N6" s="4" t="str">
        <f>TRIM(MID(SUBSTITUTE($M$1,"+",REPT(" ",LEN($M$1))),(ROW()-ROW($N$1)+1)*LEN($M$1),LEN($M$1)))</f>
        <v/>
      </c>
      <c r="O6" s="4">
        <f>IF(N6&lt;&gt;"",VLOOKUP(N6,$A$1:$B$130,2,FALSE),0)</f>
        <v>0</v>
      </c>
      <c r="P6" s="6"/>
      <c r="S6" s="4" t="str">
        <f>TRIM(MID(SUBSTITUTE($R$1,"+",REPT(" ",LEN($R$1))),(ROW()-ROW($S$1)+1)*LEN($R$1),LEN($R$1)))</f>
        <v/>
      </c>
      <c r="T6" s="4">
        <f>IF(S6&lt;&gt;"",VLOOKUP(S6,$A$1:$B$130,2,FALSE),0)</f>
        <v>0</v>
      </c>
      <c r="U6" s="5"/>
      <c r="X6" s="4" t="str">
        <f>TRIM(MID(SUBSTITUTE($W$1,"+",REPT(" ",LEN($W$1))),(ROW()-ROW($X$1)+1)*LEN($W$1),LEN($W$1)))</f>
        <v/>
      </c>
      <c r="Y6" s="4">
        <f>IF(X6&lt;&gt;"",VLOOKUP(X6,$A$1:$B$130,2,FALSE),0)</f>
        <v>0</v>
      </c>
      <c r="AC6" s="4" t="str">
        <f>TRIM(MID(SUBSTITUTE($AB$1,"+",REPT(" ",LEN($AB$1))),(ROW()-ROW($AC$1)+1)*LEN($AB$1),LEN($AB$1)))</f>
        <v/>
      </c>
      <c r="AD6" s="4">
        <f>IF(AC6&lt;&gt;"",VLOOKUP(AC6,$A$1:$B$130,2,FALSE),0)</f>
        <v>0</v>
      </c>
      <c r="AH6" s="4" t="str">
        <f>TRIM(MID(SUBSTITUTE($AG$1,"+",REPT(" ",LEN($AG$1))),(ROW()-ROW($AH$1)+1)*LEN($AG$1),LEN($AG$1)))</f>
        <v/>
      </c>
      <c r="AI6" s="4">
        <f>IF(AH6&lt;&gt;"",VLOOKUP(AH6,$A$1:$B$130,2,FALSE),0)</f>
        <v>0</v>
      </c>
      <c r="AW6" s="53" t="s">
        <v>90</v>
      </c>
      <c r="AX6" s="47">
        <f>COUNTIF(표!$B$5:$B$300,"1.*")</f>
        <v>4</v>
      </c>
    </row>
    <row r="7" spans="1:50" ht="17.500000">
      <c r="A7" s="0" t="str">
        <f>표!U7</f>
        <v>전기부품</v>
      </c>
      <c r="B7" s="18">
        <f>표!V7</f>
        <v>96</v>
      </c>
      <c r="C7" s="9"/>
      <c r="D7" s="2" t="str">
        <f>TRIM(MID(SUBSTITUTE($C$1,"+",REPT(" ",LEN($C$1))),(ROW()-ROW($D$1)+1)*LEN($C$1),LEN($C$1)))</f>
        <v/>
      </c>
      <c r="E7" s="17">
        <f>IF(D7&lt;&gt;"",VLOOKUP(D7,$A$1:$B$130,2,FALSE),0)</f>
        <v>0</v>
      </c>
      <c r="F7" s="6"/>
      <c r="H7" s="9"/>
      <c r="I7" s="4" t="str">
        <f>TRIM(MID(SUBSTITUTE($H$1,"+",REPT(" ",LEN($H$1))),(ROW()-ROW($I$1)+1)*LEN($H$1),LEN($H$1)))</f>
        <v/>
      </c>
      <c r="J7" s="4">
        <f>IF(I7&lt;&gt;"",VLOOKUP(I7,$A$1:$B$130,2,FALSE),0)</f>
        <v>0</v>
      </c>
      <c r="K7" s="6"/>
      <c r="M7" s="9"/>
      <c r="N7" s="4" t="str">
        <f>TRIM(MID(SUBSTITUTE($M$1,"+",REPT(" ",LEN($M$1))),(ROW()-ROW($N$1)+1)*LEN($M$1),LEN($M$1)))</f>
        <v/>
      </c>
      <c r="O7" s="4">
        <f>IF(N7&lt;&gt;"",VLOOKUP(N7,$A$1:$B$130,2,FALSE),0)</f>
        <v>0</v>
      </c>
      <c r="P7" s="6"/>
      <c r="S7" s="4" t="str">
        <f>TRIM(MID(SUBSTITUTE($R$1,"+",REPT(" ",LEN($R$1))),(ROW()-ROW($S$1)+1)*LEN($R$1),LEN($R$1)))</f>
        <v/>
      </c>
      <c r="T7" s="4">
        <f>IF(S7&lt;&gt;"",VLOOKUP(S7,$A$1:$B$130,2,FALSE),0)</f>
        <v>0</v>
      </c>
      <c r="U7" s="5"/>
      <c r="X7" s="4" t="str">
        <f>TRIM(MID(SUBSTITUTE($W$1,"+",REPT(" ",LEN($W$1))),(ROW()-ROW($X$1)+1)*LEN($W$1),LEN($W$1)))</f>
        <v/>
      </c>
      <c r="Y7" s="4">
        <f>IF(X7&lt;&gt;"",VLOOKUP(X7,$A$1:$B$130,2,FALSE),0)</f>
        <v>0</v>
      </c>
      <c r="AC7" s="4" t="str">
        <f>TRIM(MID(SUBSTITUTE($AB$1,"+",REPT(" ",LEN($AB$1))),(ROW()-ROW($AC$1)+1)*LEN($AB$1),LEN($AB$1)))</f>
        <v/>
      </c>
      <c r="AD7" s="4">
        <f>IF(AC7&lt;&gt;"",VLOOKUP(AC7,$A$1:$B$130,2,FALSE),0)</f>
        <v>0</v>
      </c>
      <c r="AH7" s="4" t="str">
        <f>TRIM(MID(SUBSTITUTE($AG$1,"+",REPT(" ",LEN($AG$1))),(ROW()-ROW($AH$1)+1)*LEN($AG$1),LEN($AG$1)))</f>
        <v/>
      </c>
      <c r="AI7" s="4">
        <f>IF(AH7&lt;&gt;"",VLOOKUP(AH7,$A$1:$B$130,2,FALSE),0)</f>
        <v>0</v>
      </c>
      <c r="AW7" s="53" t="s">
        <v>91</v>
      </c>
      <c r="AX7" s="47">
        <f>COUNTIF(표!$B$5:$B$300,"2.*")</f>
        <v>8</v>
      </c>
    </row>
    <row r="8" spans="1:50" ht="17.500000">
      <c r="A8" s="0" t="str">
        <f>표!U8</f>
        <v>산삼</v>
      </c>
      <c r="B8" s="18">
        <f>표!V8</f>
        <v>100</v>
      </c>
      <c r="C8" s="9"/>
      <c r="D8" s="2" t="str">
        <f>TRIM(MID(SUBSTITUTE($C$1,"+",REPT(" ",LEN($C$1))),(ROW()-ROW($D$1)+1)*LEN($C$1),LEN($C$1)))</f>
        <v/>
      </c>
      <c r="E8" s="17">
        <f>IF(D8&lt;&gt;"",VLOOKUP(D8,$A$1:$B$130,2,FALSE),0)</f>
        <v>0</v>
      </c>
      <c r="F8" s="6"/>
      <c r="H8" s="9"/>
      <c r="I8" s="4" t="str">
        <f>TRIM(MID(SUBSTITUTE($H$1,"+",REPT(" ",LEN($H$1))),(ROW()-ROW($I$1)+1)*LEN($H$1),LEN($H$1)))</f>
        <v/>
      </c>
      <c r="J8" s="4">
        <f>IF(I8&lt;&gt;"",VLOOKUP(I8,$A$1:$B$130,2,FALSE),0)</f>
        <v>0</v>
      </c>
      <c r="K8" s="6"/>
      <c r="M8" s="9"/>
      <c r="N8" s="4" t="str">
        <f>TRIM(MID(SUBSTITUTE($M$1,"+",REPT(" ",LEN($M$1))),(ROW()-ROW($N$1)+1)*LEN($M$1),LEN($M$1)))</f>
        <v/>
      </c>
      <c r="O8" s="4">
        <f>IF(N8&lt;&gt;"",VLOOKUP(N8,$A$1:$B$130,2,FALSE),0)</f>
        <v>0</v>
      </c>
      <c r="P8" s="6"/>
      <c r="S8" s="4" t="str">
        <f>TRIM(MID(SUBSTITUTE($R$1,"+",REPT(" ",LEN($R$1))),(ROW()-ROW($S$1)+1)*LEN($R$1),LEN($R$1)))</f>
        <v/>
      </c>
      <c r="T8" s="4">
        <f>IF(S8&lt;&gt;"",VLOOKUP(S8,$A$1:$B$130,2,FALSE),0)</f>
        <v>0</v>
      </c>
      <c r="U8" s="5"/>
      <c r="X8" s="4" t="str">
        <f>TRIM(MID(SUBSTITUTE($W$1,"+",REPT(" ",LEN($W$1))),(ROW()-ROW($X$1)+1)*LEN($W$1),LEN($W$1)))</f>
        <v/>
      </c>
      <c r="Y8" s="4">
        <f>IF(X8&lt;&gt;"",VLOOKUP(X8,$A$1:$B$130,2,FALSE),0)</f>
        <v>0</v>
      </c>
      <c r="AC8" s="4" t="str">
        <f>TRIM(MID(SUBSTITUTE($AB$1,"+",REPT(" ",LEN($AB$1))),(ROW()-ROW($AC$1)+1)*LEN($AB$1),LEN($AB$1)))</f>
        <v/>
      </c>
      <c r="AD8" s="4">
        <f>IF(AC8&lt;&gt;"",VLOOKUP(AC8,$A$1:$B$130,2,FALSE),0)</f>
        <v>0</v>
      </c>
      <c r="AH8" s="4" t="str">
        <f>TRIM(MID(SUBSTITUTE($AG$1,"+",REPT(" ",LEN($AG$1))),(ROW()-ROW($AH$1)+1)*LEN($AG$1),LEN($AG$1)))</f>
        <v/>
      </c>
      <c r="AI8" s="4">
        <f>IF(AH8&lt;&gt;"",VLOOKUP(AH8,$A$1:$B$130,2,FALSE),0)</f>
        <v>0</v>
      </c>
      <c r="AW8" s="53" t="s">
        <v>92</v>
      </c>
      <c r="AX8" s="47">
        <f>COUNTIF(표!$B$5:$B$300,"3.*")</f>
        <v>5</v>
      </c>
    </row>
    <row r="9" spans="1:50" ht="17.500000">
      <c r="A9" s="0" t="str">
        <f>표!S9</f>
        <v>큰 물고기</v>
      </c>
      <c r="B9" s="18">
        <f>표!T9</f>
        <v>32</v>
      </c>
      <c r="C9" s="9"/>
      <c r="D9" s="2" t="str">
        <f>TRIM(MID(SUBSTITUTE($C$1,"+",REPT(" ",LEN($C$1))),(ROW()-ROW($D$1)+1)*LEN($C$1),LEN($C$1)))</f>
        <v/>
      </c>
      <c r="E9" s="17">
        <f>IF(D9&lt;&gt;"",VLOOKUP(D9,$A$1:$B$130,2,FALSE),0)</f>
        <v>0</v>
      </c>
      <c r="F9" s="6"/>
      <c r="H9" s="9"/>
      <c r="I9" s="4" t="str">
        <f>TRIM(MID(SUBSTITUTE($H$1,"+",REPT(" ",LEN($H$1))),(ROW()-ROW($I$1)+1)*LEN($H$1),LEN($H$1)))</f>
        <v/>
      </c>
      <c r="J9" s="4">
        <f>IF(I9&lt;&gt;"",VLOOKUP(I9,$A$1:$B$130,2,FALSE),0)</f>
        <v>0</v>
      </c>
      <c r="K9" s="6"/>
      <c r="M9" s="9"/>
      <c r="N9" s="4" t="str">
        <f>TRIM(MID(SUBSTITUTE($M$1,"+",REPT(" ",LEN($M$1))),(ROW()-ROW($N$1)+1)*LEN($M$1),LEN($M$1)))</f>
        <v/>
      </c>
      <c r="O9" s="4">
        <f>IF(N9&lt;&gt;"",VLOOKUP(N9,$A$1:$B$130,2,FALSE),0)</f>
        <v>0</v>
      </c>
      <c r="P9" s="6"/>
      <c r="S9" s="4" t="str">
        <f>TRIM(MID(SUBSTITUTE($R$1,"+",REPT(" ",LEN($R$1))),(ROW()-ROW($S$1)+1)*LEN($R$1),LEN($R$1)))</f>
        <v/>
      </c>
      <c r="T9" s="4">
        <f>IF(S9&lt;&gt;"",VLOOKUP(S9,$A$1:$B$130,2,FALSE),0)</f>
        <v>0</v>
      </c>
      <c r="U9" s="5"/>
      <c r="X9" s="4" t="str">
        <f>TRIM(MID(SUBSTITUTE($W$1,"+",REPT(" ",LEN($W$1))),(ROW()-ROW($X$1)+1)*LEN($W$1),LEN($W$1)))</f>
        <v/>
      </c>
      <c r="Y9" s="4">
        <f>IF(X9&lt;&gt;"",VLOOKUP(X9,$A$1:$B$130,2,FALSE),0)</f>
        <v>0</v>
      </c>
      <c r="AC9" s="4" t="str">
        <f>TRIM(MID(SUBSTITUTE($AB$1,"+",REPT(" ",LEN($AB$1))),(ROW()-ROW($AC$1)+1)*LEN($AB$1),LEN($AB$1)))</f>
        <v/>
      </c>
      <c r="AD9" s="4">
        <f>IF(AC9&lt;&gt;"",VLOOKUP(AC9,$A$1:$B$130,2,FALSE),0)</f>
        <v>0</v>
      </c>
      <c r="AH9" s="4" t="str">
        <f>TRIM(MID(SUBSTITUTE($AG$1,"+",REPT(" ",LEN($AG$1))),(ROW()-ROW($AH$1)+1)*LEN($AG$1),LEN($AG$1)))</f>
        <v/>
      </c>
      <c r="AI9" s="4">
        <f>IF(AH9&lt;&gt;"",VLOOKUP(AH9,$A$1:$B$130,2,FALSE),0)</f>
        <v>0</v>
      </c>
      <c r="AW9" s="53" t="s">
        <v>93</v>
      </c>
      <c r="AX9" s="47">
        <f>COUNTIF(표!$B$5:$B$300,"4.*")</f>
        <v>4</v>
      </c>
    </row>
    <row r="10" spans="1:50">
      <c r="A10" s="0" t="str">
        <f>표!S10</f>
        <v>철</v>
      </c>
      <c r="B10" s="18">
        <f>표!T10</f>
        <v>32</v>
      </c>
      <c r="C10" s="9"/>
      <c r="D10" s="2" t="str">
        <f>TRIM(MID(SUBSTITUTE($C$1,"+",REPT(" ",LEN($C$1))),(ROW()-ROW($D$1)+1)*LEN($C$1),LEN($C$1)))</f>
        <v/>
      </c>
      <c r="E10" s="17">
        <f>IF(D10&lt;&gt;"",VLOOKUP(D10,$A$1:$B$130,2,FALSE),0)</f>
        <v>0</v>
      </c>
      <c r="F10" s="6"/>
      <c r="H10" s="9"/>
      <c r="I10" s="4" t="str">
        <f>TRIM(MID(SUBSTITUTE($H$1,"+",REPT(" ",LEN($H$1))),(ROW()-ROW($I$1)+1)*LEN($H$1),LEN($H$1)))</f>
        <v/>
      </c>
      <c r="J10" s="4">
        <f>IF(I10&lt;&gt;"",VLOOKUP(I10,$A$1:$B$130,2,FALSE),0)</f>
        <v>0</v>
      </c>
      <c r="K10" s="6"/>
      <c r="M10" s="9"/>
      <c r="N10" s="4" t="str">
        <f>TRIM(MID(SUBSTITUTE($M$1,"+",REPT(" ",LEN($M$1))),(ROW()-ROW($N$1)+1)*LEN($M$1),LEN($M$1)))</f>
        <v/>
      </c>
      <c r="O10" s="4">
        <f>IF(N10&lt;&gt;"",VLOOKUP(N10,$A$1:$B$130,2,FALSE),0)</f>
        <v>0</v>
      </c>
      <c r="P10" s="6"/>
      <c r="S10" s="4" t="str">
        <f>TRIM(MID(SUBSTITUTE($R$1,"+",REPT(" ",LEN($R$1))),(ROW()-ROW($S$1)+1)*LEN($R$1),LEN($R$1)))</f>
        <v/>
      </c>
      <c r="T10" s="4">
        <f>IF(S10&lt;&gt;"",VLOOKUP(S10,$A$1:$B$130,2,FALSE),0)</f>
        <v>0</v>
      </c>
      <c r="U10" s="5"/>
      <c r="X10" s="4" t="str">
        <f>TRIM(MID(SUBSTITUTE($W$1,"+",REPT(" ",LEN($W$1))),(ROW()-ROW($X$1)+1)*LEN($W$1),LEN($W$1)))</f>
        <v/>
      </c>
      <c r="Y10" s="4">
        <f>IF(X10&lt;&gt;"",VLOOKUP(X10,$A$1:$B$130,2,FALSE),0)</f>
        <v>0</v>
      </c>
      <c r="AC10" s="4" t="str">
        <f>TRIM(MID(SUBSTITUTE($AB$1,"+",REPT(" ",LEN($AB$1))),(ROW()-ROW($AC$1)+1)*LEN($AB$1),LEN($AB$1)))</f>
        <v/>
      </c>
      <c r="AD10" s="4">
        <f>IF(AC10&lt;&gt;"",VLOOKUP(AC10,$A$1:$B$130,2,FALSE),0)</f>
        <v>0</v>
      </c>
      <c r="AH10" s="4" t="str">
        <f>TRIM(MID(SUBSTITUTE($AG$1,"+",REPT(" ",LEN($AG$1))),(ROW()-ROW($AH$1)+1)*LEN($AG$1),LEN($AG$1)))</f>
        <v/>
      </c>
      <c r="AI10" s="4">
        <f>IF(AH10&lt;&gt;"",VLOOKUP(AH10,$A$1:$B$130,2,FALSE),0)</f>
        <v>0</v>
      </c>
      <c r="AW10" s="54" t="s">
        <v>94</v>
      </c>
      <c r="AX10" s="47">
        <f>COUNTIF(표!$B$5:$B$300,"5.*")</f>
        <v>5</v>
      </c>
    </row>
    <row r="11" spans="1:50">
      <c r="A11" s="0" t="str">
        <f>표!S11</f>
        <v>황동</v>
      </c>
      <c r="B11" s="18">
        <f>표!T11</f>
        <v>64</v>
      </c>
      <c r="C11" s="10">
        <v>1</v>
      </c>
      <c r="D11" s="102"/>
      <c r="E11" s="102"/>
      <c r="F11" s="103"/>
      <c r="H11" s="10">
        <v>2</v>
      </c>
      <c r="I11" s="102"/>
      <c r="J11" s="102"/>
      <c r="K11" s="103"/>
      <c r="M11" s="10">
        <v>3</v>
      </c>
      <c r="N11" s="102"/>
      <c r="O11" s="102"/>
      <c r="P11" s="103"/>
      <c r="R11" s="10">
        <v>4</v>
      </c>
      <c r="S11" s="102"/>
      <c r="T11" s="102"/>
      <c r="U11" s="103"/>
      <c r="W11" s="10">
        <v>5</v>
      </c>
      <c r="X11" s="102"/>
      <c r="Y11" s="102"/>
      <c r="Z11" s="103"/>
      <c r="AB11" s="10">
        <v>6</v>
      </c>
      <c r="AC11" s="102"/>
      <c r="AD11" s="102"/>
      <c r="AE11" s="103"/>
      <c r="AG11" s="10">
        <v>7</v>
      </c>
      <c r="AH11" s="102"/>
      <c r="AI11" s="102"/>
      <c r="AJ11" s="103"/>
    </row>
    <row r="12" spans="1:50" ht="17.500000">
      <c r="A12" s="0" t="str">
        <f>표!S12</f>
        <v>화약</v>
      </c>
      <c r="B12" s="18">
        <f>표!T12</f>
        <v>80</v>
      </c>
      <c r="C12" s="10"/>
    </row>
    <row r="13" spans="1:50" ht="17.500000">
      <c r="A13" s="0" t="str">
        <f>표!U9</f>
        <v>다이아몬드</v>
      </c>
      <c r="B13" s="18">
        <f>표!V9</f>
        <v>100</v>
      </c>
      <c r="C13" s="7" t="str">
        <f>표!Y12</f>
        <v>+나무+황동</v>
      </c>
      <c r="D13" s="4" t="str">
        <f>TRIM(MID(SUBSTITUTE($C$13,"+",REPT(" ",LEN($C$13))),(ROW()-ROW($D$13)+1)*LEN($C$13),LEN($C$13)))</f>
        <v>나무</v>
      </c>
      <c r="E13" s="19">
        <f>IF(D13&lt;&gt;"",VLOOKUP(D13,$A$1:$B$130,2,FALSE),0)</f>
        <v>16</v>
      </c>
      <c r="F13" s="20">
        <f>SUM(E13:E22)</f>
        <v>80</v>
      </c>
      <c r="H13" s="7" t="str">
        <f>표!Y13</f>
        <v>+마법석+나무+황동</v>
      </c>
      <c r="I13" s="4" t="str">
        <f>TRIM(MID(SUBSTITUTE($H$13,"+",REPT(" ",LEN($H$13))),(ROW()-ROW($I$13)+1)*LEN($H$13),LEN($H$13)))</f>
        <v>마법석</v>
      </c>
      <c r="J13" s="4">
        <f>IF(I13&lt;&gt;"",VLOOKUP(I13,$A$1:$B$130,2,FALSE),0)</f>
        <v>128</v>
      </c>
      <c r="K13" s="5">
        <f>SUM(J13:J22)</f>
        <v>208</v>
      </c>
      <c r="M13" s="7" t="str">
        <f>표!Y14</f>
        <v>+나무+화약</v>
      </c>
      <c r="N13" s="4" t="str">
        <f>TRIM(MID(SUBSTITUTE($M$13,"+",REPT(" ",LEN($M$13))),(ROW()-ROW($N$13)+1)*LEN($M$13),LEN($M$13)))</f>
        <v>나무</v>
      </c>
      <c r="O13" s="4">
        <f>IF(N13&lt;&gt;"",VLOOKUP(N13,$A$1:$B$130,2,FALSE),0)</f>
        <v>16</v>
      </c>
      <c r="P13" s="5">
        <f>SUM(O13:O22)</f>
        <v>96</v>
      </c>
      <c r="R13" s="7" t="str">
        <f>표!Y15</f>
        <v>+마법석+황동+화약</v>
      </c>
      <c r="S13" s="4" t="str">
        <f>TRIM(MID(SUBSTITUTE($R$13,"+",REPT(" ",LEN($R$13))),(ROW()-ROW($S$13)+1)*LEN($R$13),LEN($R$13)))</f>
        <v>마법석</v>
      </c>
      <c r="T13" s="4">
        <f>IF(S13&lt;&gt;"",VLOOKUP(S13,$A$1:$B$130,2,FALSE),0)</f>
        <v>128</v>
      </c>
      <c r="U13" s="5">
        <f>SUM(T13:T22)</f>
        <v>272</v>
      </c>
      <c r="W13" s="7" t="str">
        <f>표!Y16</f>
        <v>+나무+나무</v>
      </c>
      <c r="X13" s="4" t="str">
        <f>TRIM(MID(SUBSTITUTE($W$13,"+",REPT(" ",LEN($W$13))),(ROW()-ROW($X$13)+1)*LEN($W$13),LEN($W$13)))</f>
        <v>나무</v>
      </c>
      <c r="Y13" s="4">
        <f>IF(X13&lt;&gt;"",VLOOKUP(X13,$A$1:$B$130,2,FALSE),0)</f>
        <v>16</v>
      </c>
      <c r="Z13" s="5">
        <f>SUM(Y13:Y22)</f>
        <v>32</v>
      </c>
      <c r="AB13" s="7" t="str">
        <f>표!Y17</f>
        <v>+나무+나무+철+철</v>
      </c>
      <c r="AC13" s="4" t="str">
        <f>TRIM(MID(SUBSTITUTE($AB$13,"+",REPT(" ",LEN($AB$13))),(ROW()-ROW($AC$13)+1)*LEN($AB$13),LEN($AB$13)))</f>
        <v>나무</v>
      </c>
      <c r="AD13" s="4">
        <f>IF(AC13&lt;&gt;"",VLOOKUP(AC13,$A$1:$B$130,2,FALSE),0)</f>
        <v>16</v>
      </c>
      <c r="AE13" s="5">
        <f>SUM(AD13:AD22)</f>
        <v>96</v>
      </c>
      <c r="AG13" s="7" t="str">
        <f>표!Y18</f>
        <v>+나무+철+철+다이아몬드+천</v>
      </c>
      <c r="AH13" s="4" t="str">
        <f>TRIM(MID(SUBSTITUTE($AG$13,"+",REPT(" ",LEN($AG$13))),(ROW()-ROW($AH$13)+1)*LEN($AG$13),LEN($AG$13)))</f>
        <v>나무</v>
      </c>
      <c r="AI13" s="4">
        <f>IF(AH13&lt;&gt;"",VLOOKUP(AH13,$A$1:$B$130,2,FALSE),0)</f>
        <v>16</v>
      </c>
      <c r="AJ13" s="5">
        <f>SUM(AI13:AI22)</f>
        <v>260</v>
      </c>
    </row>
    <row r="14" spans="1:50" ht="17.500000">
      <c r="A14" s="0" t="str">
        <f>표!U10</f>
        <v>상어</v>
      </c>
      <c r="B14" s="18">
        <f>표!V10</f>
        <v>100</v>
      </c>
      <c r="D14" s="4" t="str">
        <f>TRIM(MID(SUBSTITUTE($C$13,"+",REPT(" ",LEN($C$13))),(ROW()-ROW($D$13)+1)*LEN($C$13),LEN($C$13)))</f>
        <v>황동</v>
      </c>
      <c r="E14" s="19">
        <f>IF(D14&lt;&gt;"",VLOOKUP(D14,$A$1:$B$130,2,FALSE),0)</f>
        <v>64</v>
      </c>
      <c r="I14" s="4" t="str">
        <f>TRIM(MID(SUBSTITUTE($H$13,"+",REPT(" ",LEN($H$13))),(ROW()-ROW($I$13)+1)*LEN($H$13),LEN($H$13)))</f>
        <v>나무</v>
      </c>
      <c r="J14" s="4">
        <f>IF(I14&lt;&gt;"",VLOOKUP(I14,$A$1:$B$130,2,FALSE),0)</f>
        <v>16</v>
      </c>
      <c r="N14" s="4" t="str">
        <f>TRIM(MID(SUBSTITUTE($M$13,"+",REPT(" ",LEN($M$13))),(ROW()-ROW($N$13)+1)*LEN($M$13),LEN($M$13)))</f>
        <v>화약</v>
      </c>
      <c r="O14" s="4">
        <f>IF(N14&lt;&gt;"",VLOOKUP(N14,$A$1:$B$130,2,FALSE),0)</f>
        <v>80</v>
      </c>
      <c r="S14" s="4" t="str">
        <f>TRIM(MID(SUBSTITUTE($R$13,"+",REPT(" ",LEN($R$13))),(ROW()-ROW($S$13)+1)*LEN($R$13),LEN($R$13)))</f>
        <v>황동</v>
      </c>
      <c r="T14" s="4">
        <f>IF(S14&lt;&gt;"",VLOOKUP(S14,$A$1:$B$130,2,FALSE),0)</f>
        <v>64</v>
      </c>
      <c r="X14" s="4" t="str">
        <f>TRIM(MID(SUBSTITUTE($W$13,"+",REPT(" ",LEN($W$13))),(ROW()-ROW($X$13)+1)*LEN($W$13),LEN($W$13)))</f>
        <v>나무</v>
      </c>
      <c r="Y14" s="4">
        <f>IF(X14&lt;&gt;"",VLOOKUP(X14,$A$1:$B$130,2,FALSE),0)</f>
        <v>16</v>
      </c>
      <c r="AC14" s="4" t="str">
        <f>TRIM(MID(SUBSTITUTE($AB$13,"+",REPT(" ",LEN($AB$13))),(ROW()-ROW($AC$13)+1)*LEN($AB$13),LEN($AB$13)))</f>
        <v>나무</v>
      </c>
      <c r="AD14" s="4">
        <f>IF(AC14&lt;&gt;"",VLOOKUP(AC14,$A$1:$B$130,2,FALSE),0)</f>
        <v>16</v>
      </c>
      <c r="AH14" s="4" t="str">
        <f>TRIM(MID(SUBSTITUTE($AG$13,"+",REPT(" ",LEN($AG$13))),(ROW()-ROW($AH$13)+1)*LEN($AG$13),LEN($AG$13)))</f>
        <v>철</v>
      </c>
      <c r="AI14" s="4">
        <f>IF(AH14&lt;&gt;"",VLOOKUP(AH14,$A$1:$B$130,2,FALSE),0)</f>
        <v>32</v>
      </c>
    </row>
    <row r="15" spans="1:50" ht="17.500000">
      <c r="A15" s="0" t="str">
        <f>표!U11</f>
        <v>마법석</v>
      </c>
      <c r="B15" s="18">
        <f>표!V11</f>
        <v>128</v>
      </c>
      <c r="D15" s="4" t="str">
        <f>TRIM(MID(SUBSTITUTE($C$13,"+",REPT(" ",LEN($C$13))),(ROW()-ROW($D$13)+1)*LEN($C$13),LEN($C$13)))</f>
        <v/>
      </c>
      <c r="E15" s="19">
        <f>IF(D15&lt;&gt;"",VLOOKUP(D15,$A$1:$B$130,2,FALSE),0)</f>
        <v>0</v>
      </c>
      <c r="I15" s="4" t="str">
        <f>TRIM(MID(SUBSTITUTE($H$13,"+",REPT(" ",LEN($H$13))),(ROW()-ROW($I$13)+1)*LEN($H$13),LEN($H$13)))</f>
        <v>황동</v>
      </c>
      <c r="J15" s="4">
        <f>IF(I15&lt;&gt;"",VLOOKUP(I15,$A$1:$B$130,2,FALSE),0)</f>
        <v>64</v>
      </c>
      <c r="N15" s="4" t="str">
        <f>TRIM(MID(SUBSTITUTE($M$13,"+",REPT(" ",LEN($M$13))),(ROW()-ROW($N$13)+1)*LEN($M$13),LEN($M$13)))</f>
        <v/>
      </c>
      <c r="O15" s="4">
        <f>IF(N15&lt;&gt;"",VLOOKUP(N15,$A$1:$B$130,2,FALSE),0)</f>
        <v>0</v>
      </c>
      <c r="S15" s="4" t="str">
        <f>TRIM(MID(SUBSTITUTE($R$13,"+",REPT(" ",LEN($R$13))),(ROW()-ROW($S$13)+1)*LEN($R$13),LEN($R$13)))</f>
        <v>화약</v>
      </c>
      <c r="T15" s="4">
        <f>IF(S15&lt;&gt;"",VLOOKUP(S15,$A$1:$B$130,2,FALSE),0)</f>
        <v>80</v>
      </c>
      <c r="X15" s="4" t="str">
        <f>TRIM(MID(SUBSTITUTE($W$13,"+",REPT(" ",LEN($W$13))),(ROW()-ROW($X$13)+1)*LEN($W$13),LEN($W$13)))</f>
        <v/>
      </c>
      <c r="Y15" s="4">
        <f>IF(X15&lt;&gt;"",VLOOKUP(X15,$A$1:$B$130,2,FALSE),0)</f>
        <v>0</v>
      </c>
      <c r="AC15" s="4" t="str">
        <f>TRIM(MID(SUBSTITUTE($AB$13,"+",REPT(" ",LEN($AB$13))),(ROW()-ROW($AC$13)+1)*LEN($AB$13),LEN($AB$13)))</f>
        <v>철</v>
      </c>
      <c r="AD15" s="4">
        <f>IF(AC15&lt;&gt;"",VLOOKUP(AC15,$A$1:$B$130,2,FALSE),0)</f>
        <v>32</v>
      </c>
      <c r="AH15" s="4" t="str">
        <f>TRIM(MID(SUBSTITUTE($AG$13,"+",REPT(" ",LEN($AG$13))),(ROW()-ROW($AH$13)+1)*LEN($AG$13),LEN($AG$13)))</f>
        <v>철</v>
      </c>
      <c r="AI15" s="4">
        <f>IF(AH15&lt;&gt;"",VLOOKUP(AH15,$A$1:$B$130,2,FALSE),0)</f>
        <v>32</v>
      </c>
    </row>
    <row r="16" spans="1:50" ht="17.500000">
      <c r="A16" s="0" t="str">
        <f>표!U12</f>
        <v>총기부품</v>
      </c>
      <c r="B16" s="18">
        <f>표!V12</f>
        <v>144</v>
      </c>
      <c r="D16" s="4" t="str">
        <f>TRIM(MID(SUBSTITUTE($C$13,"+",REPT(" ",LEN($C$13))),(ROW()-ROW($D$13)+1)*LEN($C$13),LEN($C$13)))</f>
        <v/>
      </c>
      <c r="E16" s="19">
        <f>IF(D16&lt;&gt;"",VLOOKUP(D16,$A$1:$B$130,2,FALSE),0)</f>
        <v>0</v>
      </c>
      <c r="I16" s="4" t="str">
        <f>TRIM(MID(SUBSTITUTE($H$13,"+",REPT(" ",LEN($H$13))),(ROW()-ROW($I$13)+1)*LEN($H$13),LEN($H$13)))</f>
        <v/>
      </c>
      <c r="J16" s="4">
        <f>IF(I16&lt;&gt;"",VLOOKUP(I16,$A$1:$B$130,2,FALSE),0)</f>
        <v>0</v>
      </c>
      <c r="N16" s="4" t="str">
        <f>TRIM(MID(SUBSTITUTE($M$13,"+",REPT(" ",LEN($M$13))),(ROW()-ROW($N$13)+1)*LEN($M$13),LEN($M$13)))</f>
        <v/>
      </c>
      <c r="O16" s="4">
        <f>IF(N16&lt;&gt;"",VLOOKUP(N16,$A$1:$B$130,2,FALSE),0)</f>
        <v>0</v>
      </c>
      <c r="S16" s="4" t="str">
        <f>TRIM(MID(SUBSTITUTE($R$13,"+",REPT(" ",LEN($R$13))),(ROW()-ROW($S$13)+1)*LEN($R$13),LEN($R$13)))</f>
        <v/>
      </c>
      <c r="T16" s="4">
        <f>IF(S16&lt;&gt;"",VLOOKUP(S16,$A$1:$B$130,2,FALSE),0)</f>
        <v>0</v>
      </c>
      <c r="X16" s="4" t="str">
        <f>TRIM(MID(SUBSTITUTE($W$13,"+",REPT(" ",LEN($W$13))),(ROW()-ROW($X$13)+1)*LEN($W$13),LEN($W$13)))</f>
        <v/>
      </c>
      <c r="Y16" s="4">
        <f>IF(X16&lt;&gt;"",VLOOKUP(X16,$A$1:$B$130,2,FALSE),0)</f>
        <v>0</v>
      </c>
      <c r="AC16" s="4" t="str">
        <f>TRIM(MID(SUBSTITUTE($AB$13,"+",REPT(" ",LEN($AB$13))),(ROW()-ROW($AC$13)+1)*LEN($AB$13),LEN($AB$13)))</f>
        <v>철</v>
      </c>
      <c r="AD16" s="4">
        <f>IF(AC16&lt;&gt;"",VLOOKUP(AC16,$A$1:$B$130,2,FALSE),0)</f>
        <v>32</v>
      </c>
      <c r="AH16" s="4" t="str">
        <f>TRIM(MID(SUBSTITUTE($AG$13,"+",REPT(" ",LEN($AG$13))),(ROW()-ROW($AH$13)+1)*LEN($AG$13),LEN($AG$13)))</f>
        <v>다이아몬드</v>
      </c>
      <c r="AI16" s="4">
        <f>IF(AH16&lt;&gt;"",VLOOKUP(AH16,$A$1:$B$130,2,FALSE),0)</f>
        <v>100</v>
      </c>
    </row>
    <row r="17" spans="3:36" ht="17.500000">
      <c r="D17" s="4" t="str">
        <f>TRIM(MID(SUBSTITUTE($C$13,"+",REPT(" ",LEN($C$13))),(ROW()-ROW($D$13)+1)*LEN($C$13),LEN($C$13)))</f>
        <v/>
      </c>
      <c r="E17" s="19">
        <f>IF(D17&lt;&gt;"",VLOOKUP(D17,$A$1:$B$130,2,FALSE),0)</f>
        <v>0</v>
      </c>
      <c r="I17" s="4" t="str">
        <f>TRIM(MID(SUBSTITUTE($H$13,"+",REPT(" ",LEN($H$13))),(ROW()-ROW($I$13)+1)*LEN($H$13),LEN($H$13)))</f>
        <v/>
      </c>
      <c r="J17" s="4">
        <f>IF(I17&lt;&gt;"",VLOOKUP(I17,$A$1:$B$130,2,FALSE),0)</f>
        <v>0</v>
      </c>
      <c r="N17" s="4" t="str">
        <f>TRIM(MID(SUBSTITUTE($M$13,"+",REPT(" ",LEN($M$13))),(ROW()-ROW($N$13)+1)*LEN($M$13),LEN($M$13)))</f>
        <v/>
      </c>
      <c r="O17" s="4">
        <f>IF(N17&lt;&gt;"",VLOOKUP(N17,$A$1:$B$130,2,FALSE),0)</f>
        <v>0</v>
      </c>
      <c r="S17" s="4" t="str">
        <f>TRIM(MID(SUBSTITUTE($R$13,"+",REPT(" ",LEN($R$13))),(ROW()-ROW($S$13)+1)*LEN($R$13),LEN($R$13)))</f>
        <v/>
      </c>
      <c r="T17" s="4">
        <f>IF(S17&lt;&gt;"",VLOOKUP(S17,$A$1:$B$130,2,FALSE),0)</f>
        <v>0</v>
      </c>
      <c r="X17" s="4" t="str">
        <f>TRIM(MID(SUBSTITUTE($W$13,"+",REPT(" ",LEN($W$13))),(ROW()-ROW($X$13)+1)*LEN($W$13),LEN($W$13)))</f>
        <v/>
      </c>
      <c r="Y17" s="4">
        <f>IF(X17&lt;&gt;"",VLOOKUP(X17,$A$1:$B$130,2,FALSE),0)</f>
        <v>0</v>
      </c>
      <c r="AC17" s="4" t="str">
        <f>TRIM(MID(SUBSTITUTE($AB$13,"+",REPT(" ",LEN($AB$13))),(ROW()-ROW($AC$13)+1)*LEN($AB$13),LEN($AB$13)))</f>
        <v/>
      </c>
      <c r="AD17" s="4">
        <f>IF(AC17&lt;&gt;"",VLOOKUP(AC17,$A$1:$B$130,2,FALSE),0)</f>
        <v>0</v>
      </c>
      <c r="AH17" s="4" t="str">
        <f>TRIM(MID(SUBSTITUTE($AG$13,"+",REPT(" ",LEN($AG$13))),(ROW()-ROW($AH$13)+1)*LEN($AG$13),LEN($AG$13)))</f>
        <v>천</v>
      </c>
      <c r="AI17" s="4">
        <f>IF(AH17&lt;&gt;"",VLOOKUP(AH17,$A$1:$B$130,2,FALSE),0)</f>
        <v>80</v>
      </c>
    </row>
    <row r="18" spans="3:36" ht="17.500000">
      <c r="D18" s="4" t="str">
        <f>TRIM(MID(SUBSTITUTE($C$13,"+",REPT(" ",LEN($C$13))),(ROW()-ROW($D$13)+1)*LEN($C$13),LEN($C$13)))</f>
        <v/>
      </c>
      <c r="E18" s="19">
        <f>IF(D18&lt;&gt;"",VLOOKUP(D18,$A$1:$B$130,2,FALSE),0)</f>
        <v>0</v>
      </c>
      <c r="I18" s="4" t="str">
        <f>TRIM(MID(SUBSTITUTE($H$13,"+",REPT(" ",LEN($H$13))),(ROW()-ROW($I$13)+1)*LEN($H$13),LEN($H$13)))</f>
        <v/>
      </c>
      <c r="J18" s="4">
        <f>IF(I18&lt;&gt;"",VLOOKUP(I18,$A$1:$B$130,2,FALSE),0)</f>
        <v>0</v>
      </c>
      <c r="N18" s="4" t="str">
        <f>TRIM(MID(SUBSTITUTE($M$13,"+",REPT(" ",LEN($M$13))),(ROW()-ROW($N$13)+1)*LEN($M$13),LEN($M$13)))</f>
        <v/>
      </c>
      <c r="O18" s="4">
        <f>IF(N18&lt;&gt;"",VLOOKUP(N18,$A$1:$B$130,2,FALSE),0)</f>
        <v>0</v>
      </c>
      <c r="S18" s="4" t="str">
        <f>TRIM(MID(SUBSTITUTE($R$13,"+",REPT(" ",LEN($R$13))),(ROW()-ROW($S$13)+1)*LEN($R$13),LEN($R$13)))</f>
        <v/>
      </c>
      <c r="T18" s="4">
        <f>IF(S18&lt;&gt;"",VLOOKUP(S18,$A$1:$B$130,2,FALSE),0)</f>
        <v>0</v>
      </c>
      <c r="X18" s="4" t="str">
        <f>TRIM(MID(SUBSTITUTE($W$13,"+",REPT(" ",LEN($W$13))),(ROW()-ROW($X$13)+1)*LEN($W$13),LEN($W$13)))</f>
        <v/>
      </c>
      <c r="Y18" s="4">
        <f>IF(X18&lt;&gt;"",VLOOKUP(X18,$A$1:$B$130,2,FALSE),0)</f>
        <v>0</v>
      </c>
      <c r="AC18" s="4" t="str">
        <f>TRIM(MID(SUBSTITUTE($AB$13,"+",REPT(" ",LEN($AB$13))),(ROW()-ROW($AC$13)+1)*LEN($AB$13),LEN($AB$13)))</f>
        <v/>
      </c>
      <c r="AD18" s="4">
        <f>IF(AC18&lt;&gt;"",VLOOKUP(AC18,$A$1:$B$130,2,FALSE),0)</f>
        <v>0</v>
      </c>
      <c r="AH18" s="4" t="str">
        <f>TRIM(MID(SUBSTITUTE($AG$13,"+",REPT(" ",LEN($AG$13))),(ROW()-ROW($AH$13)+1)*LEN($AG$13),LEN($AG$13)))</f>
        <v/>
      </c>
      <c r="AI18" s="4">
        <f>IF(AH18&lt;&gt;"",VLOOKUP(AH18,$A$1:$B$130,2,FALSE),0)</f>
        <v>0</v>
      </c>
    </row>
    <row r="19" spans="3:36" ht="17.500000">
      <c r="D19" s="4" t="str">
        <f>TRIM(MID(SUBSTITUTE($C$13,"+",REPT(" ",LEN($C$13))),(ROW()-ROW($D$13)+1)*LEN($C$13),LEN($C$13)))</f>
        <v/>
      </c>
      <c r="E19" s="19">
        <f>IF(D19&lt;&gt;"",VLOOKUP(D19,$A$1:$B$130,2,FALSE),0)</f>
        <v>0</v>
      </c>
      <c r="I19" s="4" t="str">
        <f>TRIM(MID(SUBSTITUTE($H$13,"+",REPT(" ",LEN($H$13))),(ROW()-ROW($I$13)+1)*LEN($H$13),LEN($H$13)))</f>
        <v/>
      </c>
      <c r="J19" s="4">
        <f>IF(I19&lt;&gt;"",VLOOKUP(I19,$A$1:$B$130,2,FALSE),0)</f>
        <v>0</v>
      </c>
      <c r="N19" s="4" t="str">
        <f>TRIM(MID(SUBSTITUTE($M$13,"+",REPT(" ",LEN($M$13))),(ROW()-ROW($N$13)+1)*LEN($M$13),LEN($M$13)))</f>
        <v/>
      </c>
      <c r="O19" s="4">
        <f>IF(N19&lt;&gt;"",VLOOKUP(N19,$A$1:$B$130,2,FALSE),0)</f>
        <v>0</v>
      </c>
      <c r="S19" s="4" t="str">
        <f>TRIM(MID(SUBSTITUTE($R$13,"+",REPT(" ",LEN($R$13))),(ROW()-ROW($S$13)+1)*LEN($R$13),LEN($R$13)))</f>
        <v/>
      </c>
      <c r="T19" s="4">
        <f>IF(S19&lt;&gt;"",VLOOKUP(S19,$A$1:$B$130,2,FALSE),0)</f>
        <v>0</v>
      </c>
      <c r="X19" s="4" t="str">
        <f>TRIM(MID(SUBSTITUTE($W$13,"+",REPT(" ",LEN($W$13))),(ROW()-ROW($X$13)+1)*LEN($W$13),LEN($W$13)))</f>
        <v/>
      </c>
      <c r="Y19" s="4">
        <f>IF(X19&lt;&gt;"",VLOOKUP(X19,$A$1:$B$130,2,FALSE),0)</f>
        <v>0</v>
      </c>
      <c r="AC19" s="4" t="str">
        <f>TRIM(MID(SUBSTITUTE($AB$13,"+",REPT(" ",LEN($AB$13))),(ROW()-ROW($AC$13)+1)*LEN($AB$13),LEN($AB$13)))</f>
        <v/>
      </c>
      <c r="AD19" s="4">
        <f>IF(AC19&lt;&gt;"",VLOOKUP(AC19,$A$1:$B$130,2,FALSE),0)</f>
        <v>0</v>
      </c>
      <c r="AH19" s="4" t="str">
        <f>TRIM(MID(SUBSTITUTE($AG$13,"+",REPT(" ",LEN($AG$13))),(ROW()-ROW($AH$13)+1)*LEN($AG$13),LEN($AG$13)))</f>
        <v/>
      </c>
      <c r="AI19" s="4">
        <f>IF(AH19&lt;&gt;"",VLOOKUP(AH19,$A$1:$B$130,2,FALSE),0)</f>
        <v>0</v>
      </c>
    </row>
    <row r="20" spans="3:36" ht="17.500000">
      <c r="D20" s="4" t="str">
        <f>TRIM(MID(SUBSTITUTE($C$13,"+",REPT(" ",LEN($C$13))),(ROW()-ROW($D$13)+1)*LEN($C$13),LEN($C$13)))</f>
        <v/>
      </c>
      <c r="E20" s="19">
        <f>IF(D20&lt;&gt;"",VLOOKUP(D20,$A$1:$B$130,2,FALSE),0)</f>
        <v>0</v>
      </c>
      <c r="I20" s="4" t="str">
        <f>TRIM(MID(SUBSTITUTE($H$13,"+",REPT(" ",LEN($H$13))),(ROW()-ROW($I$13)+1)*LEN($H$13),LEN($H$13)))</f>
        <v/>
      </c>
      <c r="J20" s="4">
        <f>IF(I20&lt;&gt;"",VLOOKUP(I20,$A$1:$B$130,2,FALSE),0)</f>
        <v>0</v>
      </c>
      <c r="N20" s="4" t="str">
        <f>TRIM(MID(SUBSTITUTE($M$13,"+",REPT(" ",LEN($M$13))),(ROW()-ROW($N$13)+1)*LEN($M$13),LEN($M$13)))</f>
        <v/>
      </c>
      <c r="O20" s="4">
        <f>IF(N20&lt;&gt;"",VLOOKUP(N20,$A$1:$B$130,2,FALSE),0)</f>
        <v>0</v>
      </c>
      <c r="S20" s="4" t="str">
        <f>TRIM(MID(SUBSTITUTE($R$13,"+",REPT(" ",LEN($R$13))),(ROW()-ROW($S$13)+1)*LEN($R$13),LEN($R$13)))</f>
        <v/>
      </c>
      <c r="T20" s="4">
        <f>IF(S20&lt;&gt;"",VLOOKUP(S20,$A$1:$B$130,2,FALSE),0)</f>
        <v>0</v>
      </c>
      <c r="X20" s="4" t="str">
        <f>TRIM(MID(SUBSTITUTE($W$13,"+",REPT(" ",LEN($W$13))),(ROW()-ROW($X$13)+1)*LEN($W$13),LEN($W$13)))</f>
        <v/>
      </c>
      <c r="Y20" s="4">
        <f>IF(X20&lt;&gt;"",VLOOKUP(X20,$A$1:$B$130,2,FALSE),0)</f>
        <v>0</v>
      </c>
      <c r="AC20" s="4" t="str">
        <f>TRIM(MID(SUBSTITUTE($AB$13,"+",REPT(" ",LEN($AB$13))),(ROW()-ROW($AC$13)+1)*LEN($AB$13),LEN($AB$13)))</f>
        <v/>
      </c>
      <c r="AD20" s="4">
        <f>IF(AC20&lt;&gt;"",VLOOKUP(AC20,$A$1:$B$130,2,FALSE),0)</f>
        <v>0</v>
      </c>
      <c r="AH20" s="4" t="str">
        <f>TRIM(MID(SUBSTITUTE($AG$13,"+",REPT(" ",LEN($AG$13))),(ROW()-ROW($AH$13)+1)*LEN($AG$13),LEN($AG$13)))</f>
        <v/>
      </c>
      <c r="AI20" s="4">
        <f>IF(AH20&lt;&gt;"",VLOOKUP(AH20,$A$1:$B$130,2,FALSE),0)</f>
        <v>0</v>
      </c>
    </row>
    <row r="21" spans="3:36" ht="17.500000">
      <c r="D21" s="4" t="str">
        <f>TRIM(MID(SUBSTITUTE($C$13,"+",REPT(" ",LEN($C$13))),(ROW()-ROW($D$13)+1)*LEN($C$13),LEN($C$13)))</f>
        <v/>
      </c>
      <c r="E21" s="19">
        <f>IF(D21&lt;&gt;"",VLOOKUP(D21,$A$1:$B$130,2,FALSE),0)</f>
        <v>0</v>
      </c>
      <c r="I21" s="4" t="str">
        <f>TRIM(MID(SUBSTITUTE($H$13,"+",REPT(" ",LEN($H$13))),(ROW()-ROW($I$13)+1)*LEN($H$13),LEN($H$13)))</f>
        <v/>
      </c>
      <c r="J21" s="4">
        <f>IF(I21&lt;&gt;"",VLOOKUP(I21,$A$1:$B$130,2,FALSE),0)</f>
        <v>0</v>
      </c>
      <c r="N21" s="4" t="str">
        <f>TRIM(MID(SUBSTITUTE($M$13,"+",REPT(" ",LEN($M$13))),(ROW()-ROW($N$13)+1)*LEN($M$13),LEN($M$13)))</f>
        <v/>
      </c>
      <c r="O21" s="4">
        <f>IF(N21&lt;&gt;"",VLOOKUP(N21,$A$1:$B$130,2,FALSE),0)</f>
        <v>0</v>
      </c>
      <c r="S21" s="4" t="str">
        <f>TRIM(MID(SUBSTITUTE($R$13,"+",REPT(" ",LEN($R$13))),(ROW()-ROW($S$13)+1)*LEN($R$13),LEN($R$13)))</f>
        <v/>
      </c>
      <c r="T21" s="4">
        <f>IF(S21&lt;&gt;"",VLOOKUP(S21,$A$1:$B$130,2,FALSE),0)</f>
        <v>0</v>
      </c>
      <c r="X21" s="4" t="str">
        <f>TRIM(MID(SUBSTITUTE($W$13,"+",REPT(" ",LEN($W$13))),(ROW()-ROW($X$13)+1)*LEN($W$13),LEN($W$13)))</f>
        <v/>
      </c>
      <c r="Y21" s="4">
        <f>IF(X21&lt;&gt;"",VLOOKUP(X21,$A$1:$B$130,2,FALSE),0)</f>
        <v>0</v>
      </c>
      <c r="AC21" s="4" t="str">
        <f>TRIM(MID(SUBSTITUTE($AB$13,"+",REPT(" ",LEN($AB$13))),(ROW()-ROW($AC$13)+1)*LEN($AB$13),LEN($AB$13)))</f>
        <v/>
      </c>
      <c r="AD21" s="4">
        <f>IF(AC21&lt;&gt;"",VLOOKUP(AC21,$A$1:$B$130,2,FALSE),0)</f>
        <v>0</v>
      </c>
      <c r="AH21" s="4" t="str">
        <f>TRIM(MID(SUBSTITUTE($AG$13,"+",REPT(" ",LEN($AG$13))),(ROW()-ROW($AH$13)+1)*LEN($AG$13),LEN($AG$13)))</f>
        <v/>
      </c>
      <c r="AI21" s="4">
        <f>IF(AH21&lt;&gt;"",VLOOKUP(AH21,$A$1:$B$130,2,FALSE),0)</f>
        <v>0</v>
      </c>
    </row>
    <row r="22" spans="3:36">
      <c r="D22" s="4" t="str">
        <f>TRIM(MID(SUBSTITUTE($C$13,"+",REPT(" ",LEN($C$13))),(ROW()-ROW($D$13)+1)*LEN($C$13),LEN($C$13)))</f>
        <v/>
      </c>
      <c r="E22" s="19">
        <f>IF(D22&lt;&gt;"",VLOOKUP(D22,$A$1:$B$130,2,FALSE),0)</f>
        <v>0</v>
      </c>
      <c r="I22" s="4" t="str">
        <f>TRIM(MID(SUBSTITUTE($H$13,"+",REPT(" ",LEN($H$13))),(ROW()-ROW($I$13)+1)*LEN($H$13),LEN($H$13)))</f>
        <v/>
      </c>
      <c r="J22" s="4">
        <f>IF(I22&lt;&gt;"",VLOOKUP(I22,$A$1:$B$130,2,FALSE),0)</f>
        <v>0</v>
      </c>
      <c r="N22" s="4" t="str">
        <f>TRIM(MID(SUBSTITUTE($M$13,"+",REPT(" ",LEN($M$13))),(ROW()-ROW($N$13)+1)*LEN($M$13),LEN($M$13)))</f>
        <v/>
      </c>
      <c r="O22" s="4">
        <f>IF(N22&lt;&gt;"",VLOOKUP(N22,$A$1:$B$130,2,FALSE),0)</f>
        <v>0</v>
      </c>
      <c r="S22" s="4" t="str">
        <f>TRIM(MID(SUBSTITUTE($R$13,"+",REPT(" ",LEN($R$13))),(ROW()-ROW($S$13)+1)*LEN($R$13),LEN($R$13)))</f>
        <v/>
      </c>
      <c r="T22" s="4">
        <f>IF(S22&lt;&gt;"",VLOOKUP(S22,$A$1:$B$130,2,FALSE),0)</f>
        <v>0</v>
      </c>
      <c r="X22" s="4" t="str">
        <f>TRIM(MID(SUBSTITUTE($W$13,"+",REPT(" ",LEN($W$13))),(ROW()-ROW($X$13)+1)*LEN($W$13),LEN($W$13)))</f>
        <v/>
      </c>
      <c r="Y22" s="4">
        <f>IF(X22&lt;&gt;"",VLOOKUP(X22,$A$1:$B$130,2,FALSE),0)</f>
        <v>0</v>
      </c>
      <c r="AC22" s="4" t="str">
        <f>TRIM(MID(SUBSTITUTE($AB$13,"+",REPT(" ",LEN($AB$13))),(ROW()-ROW($AC$13)+1)*LEN($AB$13),LEN($AB$13)))</f>
        <v/>
      </c>
      <c r="AD22" s="4">
        <f>IF(AC22&lt;&gt;"",VLOOKUP(AC22,$A$1:$B$130,2,FALSE),0)</f>
        <v>0</v>
      </c>
      <c r="AH22" s="4" t="str">
        <f>TRIM(MID(SUBSTITUTE($AG$13,"+",REPT(" ",LEN($AG$13))),(ROW()-ROW($AH$13)+1)*LEN($AG$13),LEN($AG$13)))</f>
        <v/>
      </c>
      <c r="AI22" s="4">
        <f>IF(AH22&lt;&gt;"",VLOOKUP(AH22,$A$1:$B$130,2,FALSE),0)</f>
        <v>0</v>
      </c>
    </row>
    <row r="23" spans="3:36">
      <c r="C23" s="10">
        <v>8</v>
      </c>
      <c r="D23" s="102"/>
      <c r="E23" s="102"/>
      <c r="F23" s="103"/>
      <c r="H23" s="10">
        <v>9</v>
      </c>
      <c r="I23" s="102"/>
      <c r="J23" s="102"/>
      <c r="K23" s="103"/>
      <c r="M23" s="10">
        <v>10</v>
      </c>
      <c r="N23" s="102"/>
      <c r="O23" s="102"/>
      <c r="P23" s="103"/>
      <c r="R23" s="10">
        <v>11</v>
      </c>
      <c r="S23" s="102"/>
      <c r="T23" s="102"/>
      <c r="U23" s="103"/>
      <c r="W23" s="10">
        <v>12</v>
      </c>
      <c r="X23" s="102"/>
      <c r="Y23" s="102"/>
      <c r="Z23" s="103"/>
      <c r="AB23" s="10">
        <v>13</v>
      </c>
      <c r="AC23" s="102"/>
      <c r="AD23" s="102"/>
      <c r="AE23" s="103"/>
      <c r="AG23" s="10">
        <v>14</v>
      </c>
      <c r="AH23" s="102"/>
      <c r="AI23" s="102"/>
      <c r="AJ23" s="103"/>
    </row>
    <row r="24" spans="3:36" ht="17.500000">
      <c r="M24" s="0" t="s">
        <v>20</v>
      </c>
    </row>
    <row r="25" spans="3:36" ht="17.500000">
      <c r="C25" s="3" t="str">
        <f>표!Y19</f>
        <v>+총기부품+나무+철</v>
      </c>
      <c r="D25" s="4" t="str">
        <f>TRIM(MID(SUBSTITUTE($C$25,"+",REPT(" ",LEN($C$25))),(ROW()-ROW($D$25)+1)*LEN($C$25),LEN($C$25)))</f>
        <v>총기부품</v>
      </c>
      <c r="E25" s="19">
        <f>IF(D25&lt;&gt;"",VLOOKUP(D25,$A$1:$B$130,2,FALSE),0)</f>
        <v>144</v>
      </c>
      <c r="F25" s="20">
        <f>SUM(E25:E34)</f>
        <v>192</v>
      </c>
      <c r="H25" s="7" t="str">
        <f>표!Y20</f>
        <v>+철+황동+화약</v>
      </c>
      <c r="I25" s="4" t="str">
        <f>TRIM(MID(SUBSTITUTE($H$25,"+",REPT(" ",LEN($H$25))),(ROW()-ROW($I$25)+1)*LEN($H$25),LEN($H$25)))</f>
        <v>철</v>
      </c>
      <c r="J25" s="4">
        <f>IF(I25&lt;&gt;"",VLOOKUP(I25,$A$1:$B$130,2,FALSE),0)</f>
        <v>32</v>
      </c>
      <c r="K25" s="20">
        <f>SUM(J25:J34)</f>
        <v>176</v>
      </c>
      <c r="M25" s="7" t="str">
        <f>표!Y21</f>
        <v>+나무+나무+철</v>
      </c>
      <c r="N25" s="4" t="str">
        <f>TRIM(MID(SUBSTITUTE($M$25,"+",REPT(" ",LEN($M$25))),(ROW()-ROW($N$25)+1)*LEN($M$25),LEN($M$25)))</f>
        <v>나무</v>
      </c>
      <c r="O25" s="4">
        <f>IF(N25&lt;&gt;"",VLOOKUP(N25,$A$1:$B$130,2,FALSE),0)</f>
        <v>16</v>
      </c>
      <c r="P25" s="20">
        <f>SUM(O25:O34)</f>
        <v>64</v>
      </c>
      <c r="R25" s="7" t="str">
        <f>표!Y22</f>
        <v>+나무+나무+나무+철+황동</v>
      </c>
      <c r="S25" s="4" t="str">
        <f>TRIM(MID(SUBSTITUTE($R$25,"+",REPT(" ",LEN($R$25))),(ROW()-ROW($S$25)+1)*LEN($R$25),LEN($R$25)))</f>
        <v>나무</v>
      </c>
      <c r="T25" s="4">
        <f>IF(S25&lt;&gt;"",VLOOKUP(S25,$A$1:$B$130,2,FALSE),0)</f>
        <v>16</v>
      </c>
      <c r="U25" s="20">
        <f>SUM(T25:T34)</f>
        <v>144</v>
      </c>
      <c r="W25" s="7" t="str">
        <f>표!Y23</f>
        <v>+나무+나무+철+천</v>
      </c>
      <c r="X25" s="4" t="str">
        <f>TRIM(MID(SUBSTITUTE($W$25,"+",REPT(" ",LEN($W$25))),(ROW()-ROW($X$25)+1)*LEN($W$25),LEN($W$25)))</f>
        <v>나무</v>
      </c>
      <c r="Y25" s="4">
        <f>IF(X25&lt;&gt;"",VLOOKUP(X25,$A$1:$B$130,2,FALSE),0)</f>
        <v>16</v>
      </c>
      <c r="Z25" s="5">
        <f>SUM(Y25:Y34)</f>
        <v>144</v>
      </c>
      <c r="AB25" s="7" t="str">
        <f>표!Y24</f>
        <v>+나무+나무+천</v>
      </c>
      <c r="AC25" s="4" t="str">
        <f>TRIM(MID(SUBSTITUTE($AB$25,"+",REPT(" ",LEN($AB$25))),(ROW()-ROW($AC$25)+1)*LEN($AB$25),LEN($AB$25)))</f>
        <v>나무</v>
      </c>
      <c r="AD25" s="4">
        <f>IF(AC25&lt;&gt;"",VLOOKUP(AC25,$A$1:$B$130,2,FALSE),0)</f>
        <v>16</v>
      </c>
      <c r="AE25" s="5">
        <f>SUM(AD25:AD34)</f>
        <v>112</v>
      </c>
      <c r="AG25" s="7" t="str">
        <f>표!Y25</f>
        <v>+단 열매+쓴 열매+철</v>
      </c>
      <c r="AH25" s="4" t="str">
        <f>TRIM(MID(SUBSTITUTE($AG$25,"+",REPT(" ",LEN($AG$25))),(ROW()-ROW($AH$25)+1)*LEN($AG$25),LEN($AG$25)))</f>
        <v>단 열매</v>
      </c>
      <c r="AI25" s="4">
        <f>IF(AH25&lt;&gt;"",VLOOKUP(AH25,$A$1:$B$130,2,FALSE),0)</f>
        <v>16</v>
      </c>
      <c r="AJ25" s="5">
        <f>SUM(AI25:AI34)</f>
        <v>64</v>
      </c>
    </row>
    <row r="26" spans="3:36" ht="17.500000">
      <c r="D26" s="4" t="str">
        <f>TRIM(MID(SUBSTITUTE($C$25,"+",REPT(" ",LEN($C$25))),(ROW()-ROW($D$25)+1)*LEN($C$25),LEN($C$25)))</f>
        <v>나무</v>
      </c>
      <c r="E26" s="19">
        <f>IF(D26&lt;&gt;"",VLOOKUP(D26,$A$1:$B$130,2,FALSE),0)</f>
        <v>16</v>
      </c>
      <c r="I26" s="4" t="str">
        <f>TRIM(MID(SUBSTITUTE($H$25,"+",REPT(" ",LEN($H$25))),(ROW()-ROW($I$25)+1)*LEN($H$25),LEN($H$25)))</f>
        <v>황동</v>
      </c>
      <c r="J26" s="4">
        <f>IF(I26&lt;&gt;"",VLOOKUP(I26,$A$1:$B$130,2,FALSE),0)</f>
        <v>64</v>
      </c>
      <c r="N26" s="4" t="str">
        <f>TRIM(MID(SUBSTITUTE($M$25,"+",REPT(" ",LEN($M$25))),(ROW()-ROW($N$25)+1)*LEN($M$25),LEN($M$25)))</f>
        <v>나무</v>
      </c>
      <c r="O26" s="4">
        <f>IF(N26&lt;&gt;"",VLOOKUP(N26,$A$1:$B$130,2,FALSE),0)</f>
        <v>16</v>
      </c>
      <c r="S26" s="4" t="str">
        <f>TRIM(MID(SUBSTITUTE($R$25,"+",REPT(" ",LEN($R$25))),(ROW()-ROW($S$25)+1)*LEN($R$25),LEN($R$25)))</f>
        <v>나무</v>
      </c>
      <c r="T26" s="4">
        <f>IF(S26&lt;&gt;"",VLOOKUP(S26,$A$1:$B$130,2,FALSE),0)</f>
        <v>16</v>
      </c>
      <c r="X26" s="4" t="str">
        <f>TRIM(MID(SUBSTITUTE($W$25,"+",REPT(" ",LEN($W$25))),(ROW()-ROW($X$25)+1)*LEN($W$25),LEN($W$25)))</f>
        <v>나무</v>
      </c>
      <c r="Y26" s="4">
        <f>IF(X26&lt;&gt;"",VLOOKUP(X26,$A$1:$B$130,2,FALSE),0)</f>
        <v>16</v>
      </c>
      <c r="AC26" s="4" t="str">
        <f>TRIM(MID(SUBSTITUTE($AB$25,"+",REPT(" ",LEN($AB$25))),(ROW()-ROW($AC$25)+1)*LEN($AB$25),LEN($AB$25)))</f>
        <v>나무</v>
      </c>
      <c r="AD26" s="4">
        <f>IF(AC26&lt;&gt;"",VLOOKUP(AC26,$A$1:$B$130,2,FALSE),0)</f>
        <v>16</v>
      </c>
      <c r="AH26" s="4" t="str">
        <f>TRIM(MID(SUBSTITUTE($AG$25,"+",REPT(" ",LEN($AG$25))),(ROW()-ROW($AH$25)+1)*LEN($AG$25),LEN($AG$25)))</f>
        <v>쓴 열매</v>
      </c>
      <c r="AI26" s="4">
        <f>IF(AH26&lt;&gt;"",VLOOKUP(AH26,$A$1:$B$130,2,FALSE),0)</f>
        <v>16</v>
      </c>
    </row>
    <row r="27" spans="3:36" ht="17.500000">
      <c r="D27" s="4" t="str">
        <f>TRIM(MID(SUBSTITUTE($C$25,"+",REPT(" ",LEN($C$25))),(ROW()-ROW($D$25)+1)*LEN($C$25),LEN($C$25)))</f>
        <v>철</v>
      </c>
      <c r="E27" s="19">
        <f>IF(D27&lt;&gt;"",VLOOKUP(D27,$A$1:$B$130,2,FALSE),0)</f>
        <v>32</v>
      </c>
      <c r="I27" s="4" t="str">
        <f>TRIM(MID(SUBSTITUTE($H$25,"+",REPT(" ",LEN($H$25))),(ROW()-ROW($I$25)+1)*LEN($H$25),LEN($H$25)))</f>
        <v>화약</v>
      </c>
      <c r="J27" s="4">
        <f>IF(I27&lt;&gt;"",VLOOKUP(I27,$A$1:$B$130,2,FALSE),0)</f>
        <v>80</v>
      </c>
      <c r="N27" s="4" t="str">
        <f>TRIM(MID(SUBSTITUTE($M$25,"+",REPT(" ",LEN($M$25))),(ROW()-ROW($N$25)+1)*LEN($M$25),LEN($M$25)))</f>
        <v>철</v>
      </c>
      <c r="O27" s="4">
        <f>IF(N27&lt;&gt;"",VLOOKUP(N27,$A$1:$B$130,2,FALSE),0)</f>
        <v>32</v>
      </c>
      <c r="S27" s="4" t="str">
        <f>TRIM(MID(SUBSTITUTE($R$25,"+",REPT(" ",LEN($R$25))),(ROW()-ROW($S$25)+1)*LEN($R$25),LEN($R$25)))</f>
        <v>나무</v>
      </c>
      <c r="T27" s="4">
        <f>IF(S27&lt;&gt;"",VLOOKUP(S27,$A$1:$B$130,2,FALSE),0)</f>
        <v>16</v>
      </c>
      <c r="X27" s="4" t="str">
        <f>TRIM(MID(SUBSTITUTE($W$25,"+",REPT(" ",LEN($W$25))),(ROW()-ROW($X$25)+1)*LEN($W$25),LEN($W$25)))</f>
        <v>철</v>
      </c>
      <c r="Y27" s="4">
        <f>IF(X27&lt;&gt;"",VLOOKUP(X27,$A$1:$B$130,2,FALSE),0)</f>
        <v>32</v>
      </c>
      <c r="AC27" s="4" t="str">
        <f>TRIM(MID(SUBSTITUTE($AB$25,"+",REPT(" ",LEN($AB$25))),(ROW()-ROW($AC$25)+1)*LEN($AB$25),LEN($AB$25)))</f>
        <v>천</v>
      </c>
      <c r="AD27" s="4">
        <f>IF(AC27&lt;&gt;"",VLOOKUP(AC27,$A$1:$B$130,2,FALSE),0)</f>
        <v>80</v>
      </c>
      <c r="AH27" s="4" t="str">
        <f>TRIM(MID(SUBSTITUTE($AG$25,"+",REPT(" ",LEN($AG$25))),(ROW()-ROW($AH$25)+1)*LEN($AG$25),LEN($AG$25)))</f>
        <v>철</v>
      </c>
      <c r="AI27" s="4">
        <f>IF(AH27&lt;&gt;"",VLOOKUP(AH27,$A$1:$B$130,2,FALSE),0)</f>
        <v>32</v>
      </c>
    </row>
    <row r="28" spans="3:36" ht="17.500000">
      <c r="D28" s="4" t="str">
        <f>TRIM(MID(SUBSTITUTE($C$25,"+",REPT(" ",LEN($C$25))),(ROW()-ROW($D$25)+1)*LEN($C$25),LEN($C$25)))</f>
        <v/>
      </c>
      <c r="E28" s="19">
        <f>IF(D28&lt;&gt;"",VLOOKUP(D28,$A$1:$B$130,2,FALSE),0)</f>
        <v>0</v>
      </c>
      <c r="I28" s="4" t="str">
        <f>TRIM(MID(SUBSTITUTE($H$25,"+",REPT(" ",LEN($H$25))),(ROW()-ROW($I$25)+1)*LEN($H$25),LEN($H$25)))</f>
        <v/>
      </c>
      <c r="J28" s="4">
        <f>IF(I28&lt;&gt;"",VLOOKUP(I28,$A$1:$B$130,2,FALSE),0)</f>
        <v>0</v>
      </c>
      <c r="N28" s="4" t="str">
        <f>TRIM(MID(SUBSTITUTE($M$25,"+",REPT(" ",LEN($M$25))),(ROW()-ROW($N$25)+1)*LEN($M$25),LEN($M$25)))</f>
        <v/>
      </c>
      <c r="O28" s="4">
        <f>IF(N28&lt;&gt;"",VLOOKUP(N28,$A$1:$B$130,2,FALSE),0)</f>
        <v>0</v>
      </c>
      <c r="S28" s="4" t="str">
        <f>TRIM(MID(SUBSTITUTE($R$25,"+",REPT(" ",LEN($R$25))),(ROW()-ROW($S$25)+1)*LEN($R$25),LEN($R$25)))</f>
        <v>철</v>
      </c>
      <c r="T28" s="4">
        <f>IF(S28&lt;&gt;"",VLOOKUP(S28,$A$1:$B$130,2,FALSE),0)</f>
        <v>32</v>
      </c>
      <c r="X28" s="4" t="str">
        <f>TRIM(MID(SUBSTITUTE($W$25,"+",REPT(" ",LEN($W$25))),(ROW()-ROW($X$25)+1)*LEN($W$25),LEN($W$25)))</f>
        <v>천</v>
      </c>
      <c r="Y28" s="4">
        <f>IF(X28&lt;&gt;"",VLOOKUP(X28,$A$1:$B$130,2,FALSE),0)</f>
        <v>80</v>
      </c>
      <c r="AC28" s="4" t="str">
        <f>TRIM(MID(SUBSTITUTE($AB$25,"+",REPT(" ",LEN($AB$25))),(ROW()-ROW($AC$25)+1)*LEN($AB$25),LEN($AB$25)))</f>
        <v/>
      </c>
      <c r="AD28" s="4">
        <f>IF(AC28&lt;&gt;"",VLOOKUP(AC28,$A$1:$B$130,2,FALSE),0)</f>
        <v>0</v>
      </c>
      <c r="AH28" s="4" t="str">
        <f>TRIM(MID(SUBSTITUTE($AG$25,"+",REPT(" ",LEN($AG$25))),(ROW()-ROW($AH$25)+1)*LEN($AG$25),LEN($AG$25)))</f>
        <v/>
      </c>
      <c r="AI28" s="4">
        <f>IF(AH28&lt;&gt;"",VLOOKUP(AH28,$A$1:$B$130,2,FALSE),0)</f>
        <v>0</v>
      </c>
    </row>
    <row r="29" spans="3:36" ht="17.500000">
      <c r="D29" s="4" t="str">
        <f>TRIM(MID(SUBSTITUTE($C$25,"+",REPT(" ",LEN($C$25))),(ROW()-ROW($D$25)+1)*LEN($C$25),LEN($C$25)))</f>
        <v/>
      </c>
      <c r="E29" s="19">
        <f>IF(D29&lt;&gt;"",VLOOKUP(D29,$A$1:$B$130,2,FALSE),0)</f>
        <v>0</v>
      </c>
      <c r="I29" s="4" t="str">
        <f>TRIM(MID(SUBSTITUTE($H$25,"+",REPT(" ",LEN($H$25))),(ROW()-ROW($I$25)+1)*LEN($H$25),LEN($H$25)))</f>
        <v/>
      </c>
      <c r="J29" s="4">
        <f>IF(I29&lt;&gt;"",VLOOKUP(I29,$A$1:$B$130,2,FALSE),0)</f>
        <v>0</v>
      </c>
      <c r="N29" s="4" t="str">
        <f>TRIM(MID(SUBSTITUTE($M$25,"+",REPT(" ",LEN($M$25))),(ROW()-ROW($N$25)+1)*LEN($M$25),LEN($M$25)))</f>
        <v/>
      </c>
      <c r="O29" s="4">
        <f>IF(N29&lt;&gt;"",VLOOKUP(N29,$A$1:$B$130,2,FALSE),0)</f>
        <v>0</v>
      </c>
      <c r="S29" s="4" t="str">
        <f>TRIM(MID(SUBSTITUTE($R$25,"+",REPT(" ",LEN($R$25))),(ROW()-ROW($S$25)+1)*LEN($R$25),LEN($R$25)))</f>
        <v>황동</v>
      </c>
      <c r="T29" s="4">
        <f>IF(S29&lt;&gt;"",VLOOKUP(S29,$A$1:$B$130,2,FALSE),0)</f>
        <v>64</v>
      </c>
      <c r="X29" s="4" t="str">
        <f>TRIM(MID(SUBSTITUTE($W$25,"+",REPT(" ",LEN($W$25))),(ROW()-ROW($X$25)+1)*LEN($W$25),LEN($W$25)))</f>
        <v/>
      </c>
      <c r="Y29" s="4">
        <f>IF(X29&lt;&gt;"",VLOOKUP(X29,$A$1:$B$130,2,FALSE),0)</f>
        <v>0</v>
      </c>
      <c r="AC29" s="4" t="str">
        <f>TRIM(MID(SUBSTITUTE($AB$25,"+",REPT(" ",LEN($AB$25))),(ROW()-ROW($AC$25)+1)*LEN($AB$25),LEN($AB$25)))</f>
        <v/>
      </c>
      <c r="AD29" s="4">
        <f>IF(AC29&lt;&gt;"",VLOOKUP(AC29,$A$1:$B$130,2,FALSE),0)</f>
        <v>0</v>
      </c>
      <c r="AH29" s="4" t="str">
        <f>TRIM(MID(SUBSTITUTE($AG$25,"+",REPT(" ",LEN($AG$25))),(ROW()-ROW($AH$25)+1)*LEN($AG$25),LEN($AG$25)))</f>
        <v/>
      </c>
      <c r="AI29" s="4">
        <f>IF(AH29&lt;&gt;"",VLOOKUP(AH29,$A$1:$B$130,2,FALSE),0)</f>
        <v>0</v>
      </c>
    </row>
    <row r="30" spans="3:36" ht="17.500000">
      <c r="D30" s="4" t="str">
        <f>TRIM(MID(SUBSTITUTE($C$25,"+",REPT(" ",LEN($C$25))),(ROW()-ROW($D$25)+1)*LEN($C$25),LEN($C$25)))</f>
        <v/>
      </c>
      <c r="E30" s="19">
        <f>IF(D30&lt;&gt;"",VLOOKUP(D30,$A$1:$B$130,2,FALSE),0)</f>
        <v>0</v>
      </c>
      <c r="I30" s="4" t="str">
        <f>TRIM(MID(SUBSTITUTE($H$25,"+",REPT(" ",LEN($H$25))),(ROW()-ROW($I$25)+1)*LEN($H$25),LEN($H$25)))</f>
        <v/>
      </c>
      <c r="J30" s="4">
        <f>IF(I30&lt;&gt;"",VLOOKUP(I30,$A$1:$B$130,2,FALSE),0)</f>
        <v>0</v>
      </c>
      <c r="N30" s="4" t="str">
        <f>TRIM(MID(SUBSTITUTE($M$25,"+",REPT(" ",LEN($M$25))),(ROW()-ROW($N$25)+1)*LEN($M$25),LEN($M$25)))</f>
        <v/>
      </c>
      <c r="O30" s="4">
        <f>IF(N30&lt;&gt;"",VLOOKUP(N30,$A$1:$B$130,2,FALSE),0)</f>
        <v>0</v>
      </c>
      <c r="S30" s="4" t="str">
        <f>TRIM(MID(SUBSTITUTE($R$25,"+",REPT(" ",LEN($R$25))),(ROW()-ROW($S$25)+1)*LEN($R$25),LEN($R$25)))</f>
        <v/>
      </c>
      <c r="T30" s="4">
        <f>IF(S30&lt;&gt;"",VLOOKUP(S30,$A$1:$B$130,2,FALSE),0)</f>
        <v>0</v>
      </c>
      <c r="X30" s="4" t="str">
        <f>TRIM(MID(SUBSTITUTE($W$25,"+",REPT(" ",LEN($W$25))),(ROW()-ROW($X$25)+1)*LEN($W$25),LEN($W$25)))</f>
        <v/>
      </c>
      <c r="Y30" s="4">
        <f>IF(X30&lt;&gt;"",VLOOKUP(X30,$A$1:$B$130,2,FALSE),0)</f>
        <v>0</v>
      </c>
      <c r="AC30" s="4" t="str">
        <f>TRIM(MID(SUBSTITUTE($AB$25,"+",REPT(" ",LEN($AB$25))),(ROW()-ROW($AC$25)+1)*LEN($AB$25),LEN($AB$25)))</f>
        <v/>
      </c>
      <c r="AD30" s="4">
        <f>IF(AC30&lt;&gt;"",VLOOKUP(AC30,$A$1:$B$130,2,FALSE),0)</f>
        <v>0</v>
      </c>
      <c r="AH30" s="4" t="str">
        <f>TRIM(MID(SUBSTITUTE($AG$25,"+",REPT(" ",LEN($AG$25))),(ROW()-ROW($AH$25)+1)*LEN($AG$25),LEN($AG$25)))</f>
        <v/>
      </c>
      <c r="AI30" s="4">
        <f>IF(AH30&lt;&gt;"",VLOOKUP(AH30,$A$1:$B$130,2,FALSE),0)</f>
        <v>0</v>
      </c>
    </row>
    <row r="31" spans="3:36" ht="17.500000">
      <c r="D31" s="4" t="str">
        <f>TRIM(MID(SUBSTITUTE($C$25,"+",REPT(" ",LEN($C$25))),(ROW()-ROW($D$25)+1)*LEN($C$25),LEN($C$25)))</f>
        <v/>
      </c>
      <c r="E31" s="19">
        <f>IF(D31&lt;&gt;"",VLOOKUP(D31,$A$1:$B$130,2,FALSE),0)</f>
        <v>0</v>
      </c>
      <c r="I31" s="4" t="str">
        <f>TRIM(MID(SUBSTITUTE($H$25,"+",REPT(" ",LEN($H$25))),(ROW()-ROW($I$25)+1)*LEN($H$25),LEN($H$25)))</f>
        <v/>
      </c>
      <c r="J31" s="4">
        <f>IF(I31&lt;&gt;"",VLOOKUP(I31,$A$1:$B$130,2,FALSE),0)</f>
        <v>0</v>
      </c>
      <c r="N31" s="4" t="str">
        <f>TRIM(MID(SUBSTITUTE($M$25,"+",REPT(" ",LEN($M$25))),(ROW()-ROW($N$25)+1)*LEN($M$25),LEN($M$25)))</f>
        <v/>
      </c>
      <c r="O31" s="4">
        <f>IF(N31&lt;&gt;"",VLOOKUP(N31,$A$1:$B$130,2,FALSE),0)</f>
        <v>0</v>
      </c>
      <c r="S31" s="4" t="str">
        <f>TRIM(MID(SUBSTITUTE($R$25,"+",REPT(" ",LEN($R$25))),(ROW()-ROW($S$25)+1)*LEN($R$25),LEN($R$25)))</f>
        <v/>
      </c>
      <c r="T31" s="4">
        <f>IF(S31&lt;&gt;"",VLOOKUP(S31,$A$1:$B$130,2,FALSE),0)</f>
        <v>0</v>
      </c>
      <c r="X31" s="4" t="str">
        <f>TRIM(MID(SUBSTITUTE($W$25,"+",REPT(" ",LEN($W$25))),(ROW()-ROW($X$25)+1)*LEN($W$25),LEN($W$25)))</f>
        <v/>
      </c>
      <c r="Y31" s="4">
        <f>IF(X31&lt;&gt;"",VLOOKUP(X31,$A$1:$B$130,2,FALSE),0)</f>
        <v>0</v>
      </c>
      <c r="AC31" s="4" t="str">
        <f>TRIM(MID(SUBSTITUTE($AB$25,"+",REPT(" ",LEN($AB$25))),(ROW()-ROW($AC$25)+1)*LEN($AB$25),LEN($AB$25)))</f>
        <v/>
      </c>
      <c r="AD31" s="4">
        <f>IF(AC31&lt;&gt;"",VLOOKUP(AC31,$A$1:$B$130,2,FALSE),0)</f>
        <v>0</v>
      </c>
      <c r="AH31" s="4" t="str">
        <f>TRIM(MID(SUBSTITUTE($AG$25,"+",REPT(" ",LEN($AG$25))),(ROW()-ROW($AH$25)+1)*LEN($AG$25),LEN($AG$25)))</f>
        <v/>
      </c>
      <c r="AI31" s="4">
        <f>IF(AH31&lt;&gt;"",VLOOKUP(AH31,$A$1:$B$130,2,FALSE),0)</f>
        <v>0</v>
      </c>
    </row>
    <row r="32" spans="3:36" ht="17.500000">
      <c r="D32" s="4" t="str">
        <f>TRIM(MID(SUBSTITUTE($C$25,"+",REPT(" ",LEN($C$25))),(ROW()-ROW($D$25)+1)*LEN($C$25),LEN($C$25)))</f>
        <v/>
      </c>
      <c r="E32" s="19">
        <f>IF(D32&lt;&gt;"",VLOOKUP(D32,$A$1:$B$130,2,FALSE),0)</f>
        <v>0</v>
      </c>
      <c r="I32" s="4" t="str">
        <f>TRIM(MID(SUBSTITUTE($H$25,"+",REPT(" ",LEN($H$25))),(ROW()-ROW($I$25)+1)*LEN($H$25),LEN($H$25)))</f>
        <v/>
      </c>
      <c r="J32" s="4">
        <f>IF(I32&lt;&gt;"",VLOOKUP(I32,$A$1:$B$130,2,FALSE),0)</f>
        <v>0</v>
      </c>
      <c r="N32" s="4" t="str">
        <f>TRIM(MID(SUBSTITUTE($M$25,"+",REPT(" ",LEN($M$25))),(ROW()-ROW($N$25)+1)*LEN($M$25),LEN($M$25)))</f>
        <v/>
      </c>
      <c r="O32" s="4">
        <f>IF(N32&lt;&gt;"",VLOOKUP(N32,$A$1:$B$130,2,FALSE),0)</f>
        <v>0</v>
      </c>
      <c r="S32" s="4" t="str">
        <f>TRIM(MID(SUBSTITUTE($R$25,"+",REPT(" ",LEN($R$25))),(ROW()-ROW($S$25)+1)*LEN($R$25),LEN($R$25)))</f>
        <v/>
      </c>
      <c r="T32" s="4">
        <f>IF(S32&lt;&gt;"",VLOOKUP(S32,$A$1:$B$130,2,FALSE),0)</f>
        <v>0</v>
      </c>
      <c r="X32" s="4" t="str">
        <f>TRIM(MID(SUBSTITUTE($W$25,"+",REPT(" ",LEN($W$25))),(ROW()-ROW($X$25)+1)*LEN($W$25),LEN($W$25)))</f>
        <v/>
      </c>
      <c r="Y32" s="4">
        <f>IF(X32&lt;&gt;"",VLOOKUP(X32,$A$1:$B$130,2,FALSE),0)</f>
        <v>0</v>
      </c>
      <c r="AC32" s="4" t="str">
        <f>TRIM(MID(SUBSTITUTE($AB$25,"+",REPT(" ",LEN($AB$25))),(ROW()-ROW($AC$25)+1)*LEN($AB$25),LEN($AB$25)))</f>
        <v/>
      </c>
      <c r="AD32" s="4">
        <f>IF(AC32&lt;&gt;"",VLOOKUP(AC32,$A$1:$B$130,2,FALSE),0)</f>
        <v>0</v>
      </c>
      <c r="AH32" s="4" t="str">
        <f>TRIM(MID(SUBSTITUTE($AG$25,"+",REPT(" ",LEN($AG$25))),(ROW()-ROW($AH$25)+1)*LEN($AG$25),LEN($AG$25)))</f>
        <v/>
      </c>
      <c r="AI32" s="4">
        <f>IF(AH32&lt;&gt;"",VLOOKUP(AH32,$A$1:$B$130,2,FALSE),0)</f>
        <v>0</v>
      </c>
    </row>
    <row r="33" spans="3:38" ht="17.500000">
      <c r="D33" s="4" t="str">
        <f>TRIM(MID(SUBSTITUTE($C$25,"+",REPT(" ",LEN($C$25))),(ROW()-ROW($D$25)+1)*LEN($C$25),LEN($C$25)))</f>
        <v/>
      </c>
      <c r="E33" s="19">
        <f>IF(D33&lt;&gt;"",VLOOKUP(D33,$A$1:$B$130,2,FALSE),0)</f>
        <v>0</v>
      </c>
      <c r="I33" s="4" t="str">
        <f>TRIM(MID(SUBSTITUTE($H$25,"+",REPT(" ",LEN($H$25))),(ROW()-ROW($I$25)+1)*LEN($H$25),LEN($H$25)))</f>
        <v/>
      </c>
      <c r="J33" s="4">
        <f>IF(I33&lt;&gt;"",VLOOKUP(I33,$A$1:$B$130,2,FALSE),0)</f>
        <v>0</v>
      </c>
      <c r="N33" s="4" t="str">
        <f>TRIM(MID(SUBSTITUTE($M$25,"+",REPT(" ",LEN($M$25))),(ROW()-ROW($N$25)+1)*LEN($M$25),LEN($M$25)))</f>
        <v/>
      </c>
      <c r="O33" s="4">
        <f>IF(N33&lt;&gt;"",VLOOKUP(N33,$A$1:$B$130,2,FALSE),0)</f>
        <v>0</v>
      </c>
      <c r="S33" s="4" t="str">
        <f>TRIM(MID(SUBSTITUTE($R$25,"+",REPT(" ",LEN($R$25))),(ROW()-ROW($S$25)+1)*LEN($R$25),LEN($R$25)))</f>
        <v/>
      </c>
      <c r="T33" s="4">
        <f>IF(S33&lt;&gt;"",VLOOKUP(S33,$A$1:$B$130,2,FALSE),0)</f>
        <v>0</v>
      </c>
      <c r="X33" s="4" t="str">
        <f>TRIM(MID(SUBSTITUTE($W$25,"+",REPT(" ",LEN($W$25))),(ROW()-ROW($X$25)+1)*LEN($W$25),LEN($W$25)))</f>
        <v/>
      </c>
      <c r="Y33" s="4">
        <f>IF(X33&lt;&gt;"",VLOOKUP(X33,$A$1:$B$130,2,FALSE),0)</f>
        <v>0</v>
      </c>
      <c r="AC33" s="4" t="str">
        <f>TRIM(MID(SUBSTITUTE($AB$25,"+",REPT(" ",LEN($AB$25))),(ROW()-ROW($AC$25)+1)*LEN($AB$25),LEN($AB$25)))</f>
        <v/>
      </c>
      <c r="AD33" s="4">
        <f>IF(AC33&lt;&gt;"",VLOOKUP(AC33,$A$1:$B$130,2,FALSE),0)</f>
        <v>0</v>
      </c>
      <c r="AH33" s="4" t="str">
        <f>TRIM(MID(SUBSTITUTE($AG$25,"+",REPT(" ",LEN($AG$25))),(ROW()-ROW($AH$25)+1)*LEN($AG$25),LEN($AG$25)))</f>
        <v/>
      </c>
      <c r="AI33" s="4">
        <f>IF(AH33&lt;&gt;"",VLOOKUP(AH33,$A$1:$B$130,2,FALSE),0)</f>
        <v>0</v>
      </c>
    </row>
    <row r="34" spans="3:38">
      <c r="D34" s="4" t="str">
        <f>TRIM(MID(SUBSTITUTE($C$25,"+",REPT(" ",LEN($C$13))),(ROW()-ROW($C$25)+1)*LEN($C$13),LEN($C$13)))</f>
        <v/>
      </c>
      <c r="E34" s="19">
        <f>IF(D34&lt;&gt;"",VLOOKUP(D34,$A$1:$B$130,2,FALSE),0)</f>
        <v>0</v>
      </c>
      <c r="I34" s="4" t="str">
        <f>TRIM(MID(SUBSTITUTE($H$25,"+",REPT(" ",LEN($C$13))),(ROW()-ROW($H$25)+1)*LEN($C$13),LEN($C$13)))</f>
        <v/>
      </c>
      <c r="J34" s="4">
        <f>IF(I34&lt;&gt;"",VLOOKUP(I34,$A$1:$B$130,2,FALSE),0)</f>
        <v>0</v>
      </c>
      <c r="N34" s="4" t="str">
        <f>TRIM(MID(SUBSTITUTE($M$25,"+",REPT(" ",LEN($M$25))),(ROW()-ROW($N$25)+1)*LEN($M$25),LEN($M$25)))</f>
        <v/>
      </c>
      <c r="O34" s="4">
        <f>IF(N34&lt;&gt;"",VLOOKUP(N34,$A$1:$B$130,2,FALSE),0)</f>
        <v>0</v>
      </c>
      <c r="S34" s="4" t="str">
        <f>TRIM(MID(SUBSTITUTE($R$25,"+",REPT(" ",LEN($R$25))),(ROW()-ROW($S$25)+1)*LEN($R$25),LEN($R$25)))</f>
        <v/>
      </c>
      <c r="T34" s="4">
        <f>IF(S34&lt;&gt;"",VLOOKUP(S34,$A$1:$B$130,2,FALSE),0)</f>
        <v>0</v>
      </c>
      <c r="X34" s="4" t="str">
        <f>TRIM(MID(SUBSTITUTE($W$25,"+",REPT(" ",LEN($W$25))),(ROW()-ROW($X$25)+1)*LEN($W$25),LEN($W$25)))</f>
        <v/>
      </c>
      <c r="Y34" s="4">
        <f>IF(X34&lt;&gt;"",VLOOKUP(X34,$A$1:$B$130,2,FALSE),0)</f>
        <v>0</v>
      </c>
      <c r="AC34" s="4" t="str">
        <f>TRIM(MID(SUBSTITUTE($AB$25,"+",REPT(" ",LEN($AB$25))),(ROW()-ROW($AC$25)+1)*LEN($AB$25),LEN($AB$25)))</f>
        <v/>
      </c>
      <c r="AD34" s="4">
        <f>IF(AC34&lt;&gt;"",VLOOKUP(AC34,$A$1:$B$130,2,FALSE),0)</f>
        <v>0</v>
      </c>
      <c r="AH34" s="4" t="str">
        <f>TRIM(MID(SUBSTITUTE($AG$25,"+",REPT(" ",LEN($AG$25))),(ROW()-ROW($AH$25)+1)*LEN($AG$25),LEN($AG$25)))</f>
        <v/>
      </c>
      <c r="AI34" s="4">
        <f>IF(AH34&lt;&gt;"",VLOOKUP(AH34,$A$1:$B$130,2,FALSE),0)</f>
        <v>0</v>
      </c>
    </row>
    <row r="35" spans="3:38">
      <c r="C35" s="10">
        <v>15</v>
      </c>
      <c r="D35" s="102"/>
      <c r="E35" s="102"/>
      <c r="F35" s="103"/>
      <c r="H35" s="10">
        <v>16</v>
      </c>
      <c r="I35" s="102"/>
      <c r="J35" s="102"/>
      <c r="K35" s="103"/>
      <c r="M35" s="10">
        <v>17</v>
      </c>
      <c r="N35" s="102"/>
      <c r="O35" s="102"/>
      <c r="P35" s="103"/>
      <c r="R35" s="99">
        <v>18</v>
      </c>
      <c r="S35" s="100"/>
      <c r="T35" s="100"/>
      <c r="U35" s="101"/>
      <c r="W35" s="99">
        <v>19</v>
      </c>
      <c r="X35" s="100"/>
      <c r="Y35" s="100"/>
      <c r="Z35" s="101"/>
      <c r="AB35" s="99">
        <v>20</v>
      </c>
      <c r="AC35" s="100"/>
      <c r="AD35" s="100"/>
      <c r="AE35" s="101"/>
      <c r="AG35" s="99">
        <v>21</v>
      </c>
      <c r="AH35" s="100"/>
      <c r="AI35" s="100"/>
      <c r="AJ35" s="101"/>
      <c r="AL35" s="0" t="s">
        <v>60</v>
      </c>
    </row>
    <row r="36" ht="17.500000" customHeight="1"/>
    <row r="37" spans="3:38" ht="17.500000">
      <c r="C37" s="3" t="str">
        <f>표!Y27</f>
        <v>+단 열매+쓴 열매+작은 물고기+큰 물고기</v>
      </c>
      <c r="D37" s="4" t="str">
        <f>TRIM(MID(SUBSTITUTE($C$37,"+",REPT(" ",LEN($C$37))),(ROW()-ROW($D$37)+1)*LEN($C$37),LEN($C$37)))</f>
        <v>단 열매</v>
      </c>
      <c r="E37" s="19">
        <f>IF(D37&lt;&gt;"",VLOOKUP(D37,$A$1:$B$130,2,FALSE),0)</f>
        <v>16</v>
      </c>
      <c r="F37" s="20">
        <f>SUM(E37:E46)</f>
        <v>80</v>
      </c>
      <c r="H37" s="3" t="str">
        <f>표!Y28</f>
        <v>단 열매+쓴 열매+산삼</v>
      </c>
      <c r="I37" s="4" t="str">
        <f>TRIM(MID(SUBSTITUTE($H$37,"+",REPT(" ",LEN($H$37))),(ROW()-ROW($I$37)+1)*LEN($H$37),LEN($H$37)))</f>
        <v>쓴 열매</v>
      </c>
      <c r="J37" s="19">
        <f>IF(I37&lt;&gt;"",VLOOKUP(I37,$A$1:$B$130,2,FALSE),0)</f>
        <v>16</v>
      </c>
      <c r="K37" s="20">
        <f>SUM(J37:J46)</f>
        <v>116</v>
      </c>
      <c r="M37" s="3" t="str">
        <f>표!Y29</f>
        <v>+작은 물고기+큰 물고기+철</v>
      </c>
      <c r="N37" s="4" t="str">
        <f>TRIM(MID(SUBSTITUTE($M$37,"+",REPT(" ",LEN($M$37))),(ROW()-ROW($N$37)+1)*LEN($M$37),LEN($M$37)))</f>
        <v>작은 물고기</v>
      </c>
      <c r="O37" s="19">
        <f>IF(N37&lt;&gt;"",VLOOKUP(N37,$A$1:$B$130,2,FALSE),0)</f>
        <v>16</v>
      </c>
      <c r="P37" s="20">
        <f>SUM(O37:O46)</f>
        <v>80</v>
      </c>
      <c r="R37" s="3" t="str">
        <f>표!Y30</f>
        <v>+상어+단 열매+철</v>
      </c>
      <c r="S37" s="4" t="str">
        <f>TRIM(MID(SUBSTITUTE($R$37,"+",REPT(" ",LEN($R$37))),(ROW()-ROW($S$37)+1)*LEN($R$37),LEN($R$37)))</f>
        <v>상어</v>
      </c>
      <c r="T37" s="19">
        <f>IF(S37&lt;&gt;"",VLOOKUP(S37,$A$1:$B$130,2,FALSE),0)</f>
        <v>100</v>
      </c>
      <c r="U37" s="20">
        <f>SUM(T37:T46)</f>
        <v>148</v>
      </c>
      <c r="W37" s="3">
        <f>표!Y31</f>
        <v>0</v>
      </c>
      <c r="X37" s="4" t="str">
        <f>TRIM(MID(SUBSTITUTE($W$37,"+",REPT(" ",LEN($W$37))),(ROW()-ROW($X$37)+1)*LEN($W$37),LEN($W$37)))</f>
        <v>0</v>
      </c>
      <c r="Y37" s="19" t="e">
        <f>IF(X37&lt;&gt;"",VLOOKUP(X37,$A$1:$B$130,2,FALSE),0)</f>
        <v>#N/A</v>
      </c>
      <c r="Z37" s="20" t="e">
        <f>SUM(Y37:Y46)</f>
        <v>#N/A</v>
      </c>
      <c r="AB37" s="3">
        <f>표!Y32</f>
        <v>0</v>
      </c>
      <c r="AC37" s="4" t="str">
        <f>TRIM(MID(SUBSTITUTE($AB$37,"+",REPT(" ",LEN($AB$37))),(ROW()-ROW($AC$37)+1)*LEN($AB$37),LEN($AB$37)))</f>
        <v>0</v>
      </c>
      <c r="AD37" s="19" t="e">
        <f>IF(AC37&lt;&gt;"",VLOOKUP(AC37,$A$1:$B$130,2,FALSE),0)</f>
        <v>#N/A</v>
      </c>
      <c r="AE37" s="20" t="e">
        <f>SUM(AD37:AD46)</f>
        <v>#N/A</v>
      </c>
      <c r="AG37" s="3">
        <f>표!Y33</f>
        <v>0</v>
      </c>
      <c r="AH37" s="4" t="str">
        <f>TRIM(MID(SUBSTITUTE($AG$37,"+",REPT(" ",LEN($AG$37))),(ROW()-ROW($AH$37)+1)*LEN($AG$37),LEN($AG$37)))</f>
        <v>0</v>
      </c>
      <c r="AI37" s="19" t="e">
        <f>IF(AH37&lt;&gt;"",VLOOKUP(AH37,$A$1:$B$130,2,FALSE),0)</f>
        <v>#N/A</v>
      </c>
      <c r="AJ37" s="20" t="e">
        <f>SUM(AI37:AI46)</f>
        <v>#N/A</v>
      </c>
    </row>
    <row r="38" spans="3:38" ht="17.500000">
      <c r="D38" s="4" t="str">
        <f>TRIM(MID(SUBSTITUTE($C$37,"+",REPT(" ",LEN($C$37))),(ROW()-ROW($D$37)+1)*LEN($C$37),LEN($C$37)))</f>
        <v>쓴 열매</v>
      </c>
      <c r="E38" s="19">
        <f>IF(D38&lt;&gt;"",VLOOKUP(D38,$A$1:$B$130,2,FALSE),0)</f>
        <v>16</v>
      </c>
      <c r="I38" s="4" t="str">
        <f>TRIM(MID(SUBSTITUTE($H$37,"+",REPT(" ",LEN($H$37))),(ROW()-ROW($I$37)+1)*LEN($H$37),LEN($H$37)))</f>
        <v>산삼</v>
      </c>
      <c r="J38" s="19">
        <f>IF(I38&lt;&gt;"",VLOOKUP(I38,$A$1:$B$130,2,FALSE),0)</f>
        <v>100</v>
      </c>
      <c r="N38" s="4" t="str">
        <f>TRIM(MID(SUBSTITUTE($M$37,"+",REPT(" ",LEN($M$37))),(ROW()-ROW($N$37)+1)*LEN($M$37),LEN($M$37)))</f>
        <v>큰 물고기</v>
      </c>
      <c r="O38" s="19">
        <f>IF(N38&lt;&gt;"",VLOOKUP(N38,$A$1:$B$130,2,FALSE),0)</f>
        <v>32</v>
      </c>
      <c r="S38" s="4" t="str">
        <f>TRIM(MID(SUBSTITUTE($R$37,"+",REPT(" ",LEN($R$37))),(ROW()-ROW($S$37)+1)*LEN($R$37),LEN($R$37)))</f>
        <v>단 열매</v>
      </c>
      <c r="T38" s="19">
        <f>IF(S38&lt;&gt;"",VLOOKUP(S38,$A$1:$B$130,2,FALSE),0)</f>
        <v>16</v>
      </c>
      <c r="X38" s="4" t="str">
        <f>TRIM(MID(SUBSTITUTE($W$37,"+",REPT(" ",LEN($W$37))),(ROW()-ROW($X$37)+1)*LEN($W$37),LEN($W$37)))</f>
        <v/>
      </c>
      <c r="Y38" s="19">
        <f>IF(X38&lt;&gt;"",VLOOKUP(X38,$A$1:$B$130,2,FALSE),0)</f>
        <v>0</v>
      </c>
      <c r="AC38" s="4" t="str">
        <f>TRIM(MID(SUBSTITUTE($AB$37,"+",REPT(" ",LEN($AB$37))),(ROW()-ROW($AC$37)+1)*LEN($AB$37),LEN($AB$37)))</f>
        <v/>
      </c>
      <c r="AD38" s="19">
        <f>IF(AC38&lt;&gt;"",VLOOKUP(AC38,$A$1:$B$130,2,FALSE),0)</f>
        <v>0</v>
      </c>
      <c r="AH38" s="4" t="str">
        <f>TRIM(MID(SUBSTITUTE($AG$37,"+",REPT(" ",LEN($AG$37))),(ROW()-ROW($AH$37)+1)*LEN($AG$37),LEN($AG$37)))</f>
        <v/>
      </c>
      <c r="AI38" s="19">
        <f>IF(AH38&lt;&gt;"",VLOOKUP(AH38,$A$1:$B$130,2,FALSE),0)</f>
        <v>0</v>
      </c>
    </row>
    <row r="39" spans="3:38" ht="17.500000">
      <c r="D39" s="4" t="str">
        <f>TRIM(MID(SUBSTITUTE($C$37,"+",REPT(" ",LEN($C$37))),(ROW()-ROW($D$37)+1)*LEN($C$37),LEN($C$37)))</f>
        <v>작은 물고기</v>
      </c>
      <c r="E39" s="19">
        <f>IF(D39&lt;&gt;"",VLOOKUP(D39,$A$1:$B$130,2,FALSE),0)</f>
        <v>16</v>
      </c>
      <c r="I39" s="4" t="str">
        <f>TRIM(MID(SUBSTITUTE($H$37,"+",REPT(" ",LEN($H$37))),(ROW()-ROW($I$37)+1)*LEN($H$37),LEN($H$37)))</f>
        <v/>
      </c>
      <c r="J39" s="19">
        <f>IF(I39&lt;&gt;"",VLOOKUP(I39,$A$1:$B$130,2,FALSE),0)</f>
        <v>0</v>
      </c>
      <c r="N39" s="4" t="str">
        <f>TRIM(MID(SUBSTITUTE($M$37,"+",REPT(" ",LEN($M$37))),(ROW()-ROW($N$37)+1)*LEN($M$37),LEN($M$37)))</f>
        <v>철</v>
      </c>
      <c r="O39" s="19">
        <f>IF(N39&lt;&gt;"",VLOOKUP(N39,$A$1:$B$130,2,FALSE),0)</f>
        <v>32</v>
      </c>
      <c r="S39" s="4" t="str">
        <f>TRIM(MID(SUBSTITUTE($R$37,"+",REPT(" ",LEN($R$37))),(ROW()-ROW($S$37)+1)*LEN($R$37),LEN($R$37)))</f>
        <v>철</v>
      </c>
      <c r="T39" s="19">
        <f>IF(S39&lt;&gt;"",VLOOKUP(S39,$A$1:$B$130,2,FALSE),0)</f>
        <v>32</v>
      </c>
      <c r="X39" s="4" t="str">
        <f>TRIM(MID(SUBSTITUTE($W$37,"+",REPT(" ",LEN($W$37))),(ROW()-ROW($X$37)+1)*LEN($W$37),LEN($W$37)))</f>
        <v/>
      </c>
      <c r="Y39" s="19">
        <f>IF(X39&lt;&gt;"",VLOOKUP(X39,$A$1:$B$130,2,FALSE),0)</f>
        <v>0</v>
      </c>
      <c r="AC39" s="4" t="str">
        <f>TRIM(MID(SUBSTITUTE($AB$37,"+",REPT(" ",LEN($AB$37))),(ROW()-ROW($AC$37)+1)*LEN($AB$37),LEN($AB$37)))</f>
        <v/>
      </c>
      <c r="AD39" s="19">
        <f>IF(AC39&lt;&gt;"",VLOOKUP(AC39,$A$1:$B$130,2,FALSE),0)</f>
        <v>0</v>
      </c>
      <c r="AH39" s="4" t="str">
        <f>TRIM(MID(SUBSTITUTE($AG$37,"+",REPT(" ",LEN($AG$37))),(ROW()-ROW($AH$37)+1)*LEN($AG$37),LEN($AG$37)))</f>
        <v/>
      </c>
      <c r="AI39" s="19">
        <f>IF(AH39&lt;&gt;"",VLOOKUP(AH39,$A$1:$B$130,2,FALSE),0)</f>
        <v>0</v>
      </c>
    </row>
    <row r="40" spans="3:38" ht="17.500000">
      <c r="D40" s="4" t="str">
        <f>TRIM(MID(SUBSTITUTE($C$37,"+",REPT(" ",LEN($C$37))),(ROW()-ROW($D$37)+1)*LEN($C$37),LEN($C$37)))</f>
        <v>큰 물고기</v>
      </c>
      <c r="E40" s="19">
        <f>IF(D40&lt;&gt;"",VLOOKUP(D40,$A$1:$B$130,2,FALSE),0)</f>
        <v>32</v>
      </c>
      <c r="I40" s="4" t="str">
        <f>TRIM(MID(SUBSTITUTE($H$37,"+",REPT(" ",LEN($H$37))),(ROW()-ROW($I$37)+1)*LEN($H$37),LEN($H$37)))</f>
        <v/>
      </c>
      <c r="J40" s="19">
        <f>IF(I40&lt;&gt;"",VLOOKUP(I40,$A$1:$B$130,2,FALSE),0)</f>
        <v>0</v>
      </c>
      <c r="N40" s="4" t="str">
        <f>TRIM(MID(SUBSTITUTE($M$37,"+",REPT(" ",LEN($M$37))),(ROW()-ROW($N$37)+1)*LEN($M$37),LEN($M$37)))</f>
        <v/>
      </c>
      <c r="O40" s="19">
        <f>IF(N40&lt;&gt;"",VLOOKUP(N40,$A$1:$B$130,2,FALSE),0)</f>
        <v>0</v>
      </c>
      <c r="S40" s="4" t="str">
        <f>TRIM(MID(SUBSTITUTE($R$37,"+",REPT(" ",LEN($R$37))),(ROW()-ROW($S$37)+1)*LEN($R$37),LEN($R$37)))</f>
        <v/>
      </c>
      <c r="T40" s="19">
        <f>IF(S40&lt;&gt;"",VLOOKUP(S40,$A$1:$B$130,2,FALSE),0)</f>
        <v>0</v>
      </c>
      <c r="X40" s="4" t="str">
        <f>TRIM(MID(SUBSTITUTE($W$37,"+",REPT(" ",LEN($W$37))),(ROW()-ROW($X$37)+1)*LEN($W$37),LEN($W$37)))</f>
        <v/>
      </c>
      <c r="Y40" s="19">
        <f>IF(X40&lt;&gt;"",VLOOKUP(X40,$A$1:$B$130,2,FALSE),0)</f>
        <v>0</v>
      </c>
      <c r="AC40" s="4" t="str">
        <f>TRIM(MID(SUBSTITUTE($AB$37,"+",REPT(" ",LEN($AB$37))),(ROW()-ROW($AC$37)+1)*LEN($AB$37),LEN($AB$37)))</f>
        <v/>
      </c>
      <c r="AD40" s="19">
        <f>IF(AC40&lt;&gt;"",VLOOKUP(AC40,$A$1:$B$130,2,FALSE),0)</f>
        <v>0</v>
      </c>
      <c r="AH40" s="4" t="str">
        <f>TRIM(MID(SUBSTITUTE($AG$37,"+",REPT(" ",LEN($AG$37))),(ROW()-ROW($AH$37)+1)*LEN($AG$37),LEN($AG$37)))</f>
        <v/>
      </c>
      <c r="AI40" s="19">
        <f>IF(AH40&lt;&gt;"",VLOOKUP(AH40,$A$1:$B$130,2,FALSE),0)</f>
        <v>0</v>
      </c>
    </row>
    <row r="41" spans="3:38" ht="17.500000">
      <c r="D41" s="4" t="str">
        <f>TRIM(MID(SUBSTITUTE($C$37,"+",REPT(" ",LEN($C$37))),(ROW()-ROW($D$37)+1)*LEN($C$37),LEN($C$37)))</f>
        <v/>
      </c>
      <c r="E41" s="19">
        <f>IF(D41&lt;&gt;"",VLOOKUP(D41,$A$1:$B$130,2,FALSE),0)</f>
        <v>0</v>
      </c>
      <c r="I41" s="4" t="str">
        <f>TRIM(MID(SUBSTITUTE($H$37,"+",REPT(" ",LEN($H$37))),(ROW()-ROW($I$37)+1)*LEN($H$37),LEN($H$37)))</f>
        <v/>
      </c>
      <c r="J41" s="19">
        <f>IF(I41&lt;&gt;"",VLOOKUP(I41,$A$1:$B$130,2,FALSE),0)</f>
        <v>0</v>
      </c>
      <c r="N41" s="4" t="str">
        <f>TRIM(MID(SUBSTITUTE($M$37,"+",REPT(" ",LEN($M$37))),(ROW()-ROW($N$37)+1)*LEN($M$37),LEN($M$37)))</f>
        <v/>
      </c>
      <c r="O41" s="19">
        <f>IF(N41&lt;&gt;"",VLOOKUP(N41,$A$1:$B$130,2,FALSE),0)</f>
        <v>0</v>
      </c>
      <c r="S41" s="4" t="str">
        <f>TRIM(MID(SUBSTITUTE($R$37,"+",REPT(" ",LEN($R$37))),(ROW()-ROW($S$37)+1)*LEN($R$37),LEN($R$37)))</f>
        <v/>
      </c>
      <c r="T41" s="19">
        <f>IF(S41&lt;&gt;"",VLOOKUP(S41,$A$1:$B$130,2,FALSE),0)</f>
        <v>0</v>
      </c>
      <c r="X41" s="4" t="str">
        <f>TRIM(MID(SUBSTITUTE($W$37,"+",REPT(" ",LEN($W$37))),(ROW()-ROW($X$37)+1)*LEN($W$37),LEN($W$37)))</f>
        <v/>
      </c>
      <c r="Y41" s="19">
        <f>IF(X41&lt;&gt;"",VLOOKUP(X41,$A$1:$B$130,2,FALSE),0)</f>
        <v>0</v>
      </c>
      <c r="AC41" s="4" t="str">
        <f>TRIM(MID(SUBSTITUTE($AB$37,"+",REPT(" ",LEN($AB$37))),(ROW()-ROW($AC$37)+1)*LEN($AB$37),LEN($AB$37)))</f>
        <v/>
      </c>
      <c r="AD41" s="19">
        <f>IF(AC41&lt;&gt;"",VLOOKUP(AC41,$A$1:$B$130,2,FALSE),0)</f>
        <v>0</v>
      </c>
      <c r="AH41" s="4" t="str">
        <f>TRIM(MID(SUBSTITUTE($AG$37,"+",REPT(" ",LEN($AG$37))),(ROW()-ROW($AH$37)+1)*LEN($AG$37),LEN($AG$37)))</f>
        <v/>
      </c>
      <c r="AI41" s="19">
        <f>IF(AH41&lt;&gt;"",VLOOKUP(AH41,$A$1:$B$130,2,FALSE),0)</f>
        <v>0</v>
      </c>
    </row>
    <row r="42" spans="3:38" ht="17.500000">
      <c r="D42" s="4" t="str">
        <f>TRIM(MID(SUBSTITUTE($C$37,"+",REPT(" ",LEN($C$37))),(ROW()-ROW($D$37)+1)*LEN($C$37),LEN($C$37)))</f>
        <v/>
      </c>
      <c r="E42" s="19">
        <f>IF(D42&lt;&gt;"",VLOOKUP(D42,$A$1:$B$130,2,FALSE),0)</f>
        <v>0</v>
      </c>
      <c r="I42" s="4" t="str">
        <f>TRIM(MID(SUBSTITUTE($H$37,"+",REPT(" ",LEN($H$37))),(ROW()-ROW($I$37)+1)*LEN($H$37),LEN($H$37)))</f>
        <v/>
      </c>
      <c r="J42" s="19">
        <f>IF(I42&lt;&gt;"",VLOOKUP(I42,$A$1:$B$130,2,FALSE),0)</f>
        <v>0</v>
      </c>
      <c r="N42" s="4" t="str">
        <f>TRIM(MID(SUBSTITUTE($M$37,"+",REPT(" ",LEN($M$37))),(ROW()-ROW($N$37)+1)*LEN($M$37),LEN($M$37)))</f>
        <v/>
      </c>
      <c r="O42" s="19">
        <f>IF(N42&lt;&gt;"",VLOOKUP(N42,$A$1:$B$130,2,FALSE),0)</f>
        <v>0</v>
      </c>
      <c r="S42" s="4" t="str">
        <f>TRIM(MID(SUBSTITUTE($R$37,"+",REPT(" ",LEN($R$37))),(ROW()-ROW($S$37)+1)*LEN($R$37),LEN($R$37)))</f>
        <v/>
      </c>
      <c r="T42" s="19">
        <f>IF(S42&lt;&gt;"",VLOOKUP(S42,$A$1:$B$130,2,FALSE),0)</f>
        <v>0</v>
      </c>
      <c r="X42" s="4" t="str">
        <f>TRIM(MID(SUBSTITUTE($W$37,"+",REPT(" ",LEN($W$37))),(ROW()-ROW($X$37)+1)*LEN($W$37),LEN($W$37)))</f>
        <v/>
      </c>
      <c r="Y42" s="19">
        <f>IF(X42&lt;&gt;"",VLOOKUP(X42,$A$1:$B$130,2,FALSE),0)</f>
        <v>0</v>
      </c>
      <c r="AC42" s="4" t="str">
        <f>TRIM(MID(SUBSTITUTE($AB$37,"+",REPT(" ",LEN($AB$37))),(ROW()-ROW($AC$37)+1)*LEN($AB$37),LEN($AB$37)))</f>
        <v/>
      </c>
      <c r="AD42" s="19">
        <f>IF(AC42&lt;&gt;"",VLOOKUP(AC42,$A$1:$B$130,2,FALSE),0)</f>
        <v>0</v>
      </c>
      <c r="AH42" s="4" t="str">
        <f>TRIM(MID(SUBSTITUTE($AG$37,"+",REPT(" ",LEN($AG$37))),(ROW()-ROW($AH$37)+1)*LEN($AG$37),LEN($AG$37)))</f>
        <v/>
      </c>
      <c r="AI42" s="19">
        <f>IF(AH42&lt;&gt;"",VLOOKUP(AH42,$A$1:$B$130,2,FALSE),0)</f>
        <v>0</v>
      </c>
    </row>
    <row r="43" spans="3:38" ht="17.500000">
      <c r="D43" s="4" t="str">
        <f>TRIM(MID(SUBSTITUTE($C$37,"+",REPT(" ",LEN($C$37))),(ROW()-ROW($D$37)+1)*LEN($C$37),LEN($C$37)))</f>
        <v/>
      </c>
      <c r="E43" s="19">
        <f>IF(D43&lt;&gt;"",VLOOKUP(D43,$A$1:$B$130,2,FALSE),0)</f>
        <v>0</v>
      </c>
      <c r="I43" s="4" t="str">
        <f>TRIM(MID(SUBSTITUTE($H$37,"+",REPT(" ",LEN($H$37))),(ROW()-ROW($I$37)+1)*LEN($H$37),LEN($H$37)))</f>
        <v/>
      </c>
      <c r="J43" s="19">
        <f>IF(I43&lt;&gt;"",VLOOKUP(I43,$A$1:$B$130,2,FALSE),0)</f>
        <v>0</v>
      </c>
      <c r="N43" s="4" t="str">
        <f>TRIM(MID(SUBSTITUTE($M$37,"+",REPT(" ",LEN($M$37))),(ROW()-ROW($N$37)+1)*LEN($M$37),LEN($M$37)))</f>
        <v/>
      </c>
      <c r="O43" s="19">
        <f>IF(N43&lt;&gt;"",VLOOKUP(N43,$A$1:$B$130,2,FALSE),0)</f>
        <v>0</v>
      </c>
      <c r="S43" s="4" t="str">
        <f>TRIM(MID(SUBSTITUTE($R$37,"+",REPT(" ",LEN($R$37))),(ROW()-ROW($S$37)+1)*LEN($R$37),LEN($R$37)))</f>
        <v/>
      </c>
      <c r="T43" s="19">
        <f>IF(S43&lt;&gt;"",VLOOKUP(S43,$A$1:$B$130,2,FALSE),0)</f>
        <v>0</v>
      </c>
      <c r="X43" s="4" t="str">
        <f>TRIM(MID(SUBSTITUTE($W$37,"+",REPT(" ",LEN($W$37))),(ROW()-ROW($X$37)+1)*LEN($W$37),LEN($W$37)))</f>
        <v/>
      </c>
      <c r="Y43" s="19">
        <f>IF(X43&lt;&gt;"",VLOOKUP(X43,$A$1:$B$130,2,FALSE),0)</f>
        <v>0</v>
      </c>
      <c r="AC43" s="4" t="str">
        <f>TRIM(MID(SUBSTITUTE($AB$37,"+",REPT(" ",LEN($AB$37))),(ROW()-ROW($AC$37)+1)*LEN($AB$37),LEN($AB$37)))</f>
        <v/>
      </c>
      <c r="AD43" s="19">
        <f>IF(AC43&lt;&gt;"",VLOOKUP(AC43,$A$1:$B$130,2,FALSE),0)</f>
        <v>0</v>
      </c>
      <c r="AH43" s="4" t="str">
        <f>TRIM(MID(SUBSTITUTE($AG$37,"+",REPT(" ",LEN($AG$37))),(ROW()-ROW($AH$37)+1)*LEN($AG$37),LEN($AG$37)))</f>
        <v/>
      </c>
      <c r="AI43" s="19">
        <f>IF(AH43&lt;&gt;"",VLOOKUP(AH43,$A$1:$B$130,2,FALSE),0)</f>
        <v>0</v>
      </c>
    </row>
    <row r="44" spans="3:38" ht="17.500000">
      <c r="D44" s="4" t="str">
        <f>TRIM(MID(SUBSTITUTE($C$37,"+",REPT(" ",LEN($C$37))),(ROW()-ROW($D$37)+1)*LEN($C$37),LEN($C$37)))</f>
        <v/>
      </c>
      <c r="E44" s="19">
        <f>IF(D44&lt;&gt;"",VLOOKUP(D44,$A$1:$B$130,2,FALSE),0)</f>
        <v>0</v>
      </c>
      <c r="I44" s="4" t="str">
        <f>TRIM(MID(SUBSTITUTE($H$37,"+",REPT(" ",LEN($H$37))),(ROW()-ROW($I$37)+1)*LEN($H$37),LEN($H$37)))</f>
        <v/>
      </c>
      <c r="J44" s="19">
        <f>IF(I44&lt;&gt;"",VLOOKUP(I44,$A$1:$B$130,2,FALSE),0)</f>
        <v>0</v>
      </c>
      <c r="N44" s="4" t="str">
        <f>TRIM(MID(SUBSTITUTE($M$37,"+",REPT(" ",LEN($M$37))),(ROW()-ROW($N$37)+1)*LEN($M$37),LEN($M$37)))</f>
        <v/>
      </c>
      <c r="O44" s="19">
        <f>IF(N44&lt;&gt;"",VLOOKUP(N44,$A$1:$B$130,2,FALSE),0)</f>
        <v>0</v>
      </c>
      <c r="S44" s="4" t="str">
        <f>TRIM(MID(SUBSTITUTE($R$37,"+",REPT(" ",LEN($R$37))),(ROW()-ROW($S$37)+1)*LEN($R$37),LEN($R$37)))</f>
        <v/>
      </c>
      <c r="T44" s="19">
        <f>IF(S44&lt;&gt;"",VLOOKUP(S44,$A$1:$B$130,2,FALSE),0)</f>
        <v>0</v>
      </c>
      <c r="X44" s="4" t="str">
        <f>TRIM(MID(SUBSTITUTE($W$37,"+",REPT(" ",LEN($W$37))),(ROW()-ROW($X$37)+1)*LEN($W$37),LEN($W$37)))</f>
        <v/>
      </c>
      <c r="Y44" s="19">
        <f>IF(X44&lt;&gt;"",VLOOKUP(X44,$A$1:$B$130,2,FALSE),0)</f>
        <v>0</v>
      </c>
      <c r="AC44" s="4" t="str">
        <f>TRIM(MID(SUBSTITUTE($AB$37,"+",REPT(" ",LEN($AB$37))),(ROW()-ROW($AC$37)+1)*LEN($AB$37),LEN($AB$37)))</f>
        <v/>
      </c>
      <c r="AD44" s="19">
        <f>IF(AC44&lt;&gt;"",VLOOKUP(AC44,$A$1:$B$130,2,FALSE),0)</f>
        <v>0</v>
      </c>
      <c r="AH44" s="4" t="str">
        <f>TRIM(MID(SUBSTITUTE($AG$37,"+",REPT(" ",LEN($AG$37))),(ROW()-ROW($AH$37)+1)*LEN($AG$37),LEN($AG$37)))</f>
        <v/>
      </c>
      <c r="AI44" s="19">
        <f>IF(AH44&lt;&gt;"",VLOOKUP(AH44,$A$1:$B$130,2,FALSE),0)</f>
        <v>0</v>
      </c>
    </row>
    <row r="45" spans="3:38" ht="17.500000">
      <c r="D45" s="4" t="str">
        <f>TRIM(MID(SUBSTITUTE($C$37,"+",REPT(" ",LEN($C$37))),(ROW()-ROW($D$37)+1)*LEN($C$37),LEN($C$37)))</f>
        <v/>
      </c>
      <c r="E45" s="19">
        <f>IF(D45&lt;&gt;"",VLOOKUP(D45,$A$1:$B$130,2,FALSE),0)</f>
        <v>0</v>
      </c>
      <c r="I45" s="4" t="str">
        <f>TRIM(MID(SUBSTITUTE($H$37,"+",REPT(" ",LEN($H$37))),(ROW()-ROW($I$37)+1)*LEN($H$37),LEN($H$37)))</f>
        <v/>
      </c>
      <c r="J45" s="19">
        <f>IF(I45&lt;&gt;"",VLOOKUP(I45,$A$1:$B$130,2,FALSE),0)</f>
        <v>0</v>
      </c>
      <c r="N45" s="4" t="str">
        <f>TRIM(MID(SUBSTITUTE($M$37,"+",REPT(" ",LEN($M$37))),(ROW()-ROW($N$37)+1)*LEN($M$37),LEN($M$37)))</f>
        <v/>
      </c>
      <c r="O45" s="19">
        <f>IF(N45&lt;&gt;"",VLOOKUP(N45,$A$1:$B$130,2,FALSE),0)</f>
        <v>0</v>
      </c>
      <c r="S45" s="4" t="str">
        <f>TRIM(MID(SUBSTITUTE($R$37,"+",REPT(" ",LEN($R$37))),(ROW()-ROW($S$37)+1)*LEN($R$37),LEN($R$37)))</f>
        <v/>
      </c>
      <c r="T45" s="19">
        <f>IF(S45&lt;&gt;"",VLOOKUP(S45,$A$1:$B$130,2,FALSE),0)</f>
        <v>0</v>
      </c>
      <c r="X45" s="4" t="str">
        <f>TRIM(MID(SUBSTITUTE($W$37,"+",REPT(" ",LEN($W$37))),(ROW()-ROW($X$37)+1)*LEN($W$37),LEN($W$37)))</f>
        <v/>
      </c>
      <c r="Y45" s="19">
        <f>IF(X45&lt;&gt;"",VLOOKUP(X45,$A$1:$B$130,2,FALSE),0)</f>
        <v>0</v>
      </c>
      <c r="AC45" s="4" t="str">
        <f>TRIM(MID(SUBSTITUTE($AB$37,"+",REPT(" ",LEN($AB$37))),(ROW()-ROW($AC$37)+1)*LEN($AB$37),LEN($AB$37)))</f>
        <v/>
      </c>
      <c r="AD45" s="19">
        <f>IF(AC45&lt;&gt;"",VLOOKUP(AC45,$A$1:$B$130,2,FALSE),0)</f>
        <v>0</v>
      </c>
      <c r="AH45" s="4" t="str">
        <f>TRIM(MID(SUBSTITUTE($AG$37,"+",REPT(" ",LEN($AG$37))),(ROW()-ROW($AH$37)+1)*LEN($AG$37),LEN($AG$37)))</f>
        <v/>
      </c>
      <c r="AI45" s="19">
        <f>IF(AH45&lt;&gt;"",VLOOKUP(AH45,$A$1:$B$130,2,FALSE),0)</f>
        <v>0</v>
      </c>
    </row>
    <row r="46" spans="3:38">
      <c r="D46" s="4" t="str">
        <f>TRIM(MID(SUBSTITUTE($C$37,"+",REPT(" ",LEN($C$37))),(ROW()-ROW($D$37)+1)*LEN($C$37),LEN($C$37)))</f>
        <v/>
      </c>
      <c r="E46" s="19">
        <f>IF(D46&lt;&gt;"",VLOOKUP(D46,$A$1:$B$130,2,FALSE),0)</f>
        <v>0</v>
      </c>
      <c r="I46" s="4" t="str">
        <f>TRIM(MID(SUBSTITUTE($H$37,"+",REPT(" ",LEN($H$37))),(ROW()-ROW($I$37)+1)*LEN($H$37),LEN($H$37)))</f>
        <v/>
      </c>
      <c r="J46" s="19">
        <f>IF(I46&lt;&gt;"",VLOOKUP(I46,$A$1:$B$130,2,FALSE),0)</f>
        <v>0</v>
      </c>
      <c r="N46" s="4" t="str">
        <f>TRIM(MID(SUBSTITUTE($M$37,"+",REPT(" ",LEN($M$37))),(ROW()-ROW($N$37)+1)*LEN($M$37),LEN($M$37)))</f>
        <v/>
      </c>
      <c r="O46" s="19">
        <f>IF(N46&lt;&gt;"",VLOOKUP(N46,$A$1:$B$130,2,FALSE),0)</f>
        <v>0</v>
      </c>
      <c r="S46" s="4" t="str">
        <f>TRIM(MID(SUBSTITUTE($R$37,"+",REPT(" ",LEN($R$37))),(ROW()-ROW($S$37)+1)*LEN($R$37),LEN($R$37)))</f>
        <v/>
      </c>
      <c r="T46" s="19">
        <f>IF(S46&lt;&gt;"",VLOOKUP(S46,$A$1:$B$130,2,FALSE),0)</f>
        <v>0</v>
      </c>
      <c r="X46" s="4" t="str">
        <f>TRIM(MID(SUBSTITUTE($W$37,"+",REPT(" ",LEN($W$37))),(ROW()-ROW($X$37)+1)*LEN($W$37),LEN($W$37)))</f>
        <v/>
      </c>
      <c r="Y46" s="19">
        <f>IF(X46&lt;&gt;"",VLOOKUP(X46,$A$1:$B$130,2,FALSE),0)</f>
        <v>0</v>
      </c>
      <c r="AC46" s="4" t="str">
        <f>TRIM(MID(SUBSTITUTE($AB$37,"+",REPT(" ",LEN($AB$37))),(ROW()-ROW($AC$37)+1)*LEN($AB$37),LEN($AB$37)))</f>
        <v/>
      </c>
      <c r="AD46" s="19">
        <f>IF(AC46&lt;&gt;"",VLOOKUP(AC46,$A$1:$B$130,2,FALSE),0)</f>
        <v>0</v>
      </c>
      <c r="AH46" s="4" t="str">
        <f>TRIM(MID(SUBSTITUTE($AG$37,"+",REPT(" ",LEN($AG$37))),(ROW()-ROW($AH$37)+1)*LEN($AG$37),LEN($AG$37)))</f>
        <v/>
      </c>
      <c r="AI46" s="19">
        <f>IF(AH46&lt;&gt;"",VLOOKUP(AH46,$A$1:$B$130,2,FALSE),0)</f>
        <v>0</v>
      </c>
    </row>
    <row r="47" spans="3:38">
      <c r="C47" s="10">
        <v>23</v>
      </c>
      <c r="D47" s="102"/>
      <c r="E47" s="102"/>
      <c r="F47" s="103"/>
      <c r="H47" s="10">
        <v>24</v>
      </c>
      <c r="I47" s="102"/>
      <c r="J47" s="102"/>
      <c r="K47" s="103"/>
      <c r="M47" s="10">
        <v>25</v>
      </c>
      <c r="N47" s="102"/>
      <c r="O47" s="102"/>
      <c r="P47" s="103"/>
      <c r="R47" s="10">
        <v>26</v>
      </c>
      <c r="S47" s="102"/>
      <c r="T47" s="102"/>
      <c r="U47" s="103"/>
      <c r="W47" s="10">
        <v>27</v>
      </c>
      <c r="X47" s="102"/>
      <c r="Y47" s="102"/>
      <c r="Z47" s="103"/>
      <c r="AB47" s="10">
        <v>28</v>
      </c>
      <c r="AC47" s="102"/>
      <c r="AD47" s="102"/>
      <c r="AE47" s="103"/>
      <c r="AG47" s="10">
        <v>29</v>
      </c>
      <c r="AH47" s="102"/>
      <c r="AI47" s="102"/>
      <c r="AJ47" s="103"/>
    </row>
    <row r="48" ht="17.500000" customHeight="1"/>
    <row r="49" spans="3:36" ht="17.500000">
      <c r="C49" s="3">
        <f>표!Y34</f>
        <v>0</v>
      </c>
      <c r="D49" s="4" t="str">
        <f>TRIM(MID(SUBSTITUTE($C$49,"+",REPT(" ",LEN($C$49))),(ROW()-ROW($D$49)+1)*LEN($C$49),LEN($C$49)))</f>
        <v>0</v>
      </c>
      <c r="E49" s="19" t="e">
        <f>IF(D49&lt;&gt;"",VLOOKUP(D49,$A$1:$B$130,2,FALSE),0)</f>
        <v>#N/A</v>
      </c>
      <c r="F49" s="20" t="e">
        <f>SUM(E49:E58)</f>
        <v>#N/A</v>
      </c>
      <c r="H49" s="3">
        <f>표!Y35</f>
        <v>0</v>
      </c>
      <c r="I49" s="4" t="str">
        <f>TRIM(MID(SUBSTITUTE($H$49,"+",REPT(" ",LEN($H$49))),(ROW()-ROW($I$49)+1)*LEN($H$49),LEN($H$49)))</f>
        <v>0</v>
      </c>
      <c r="J49" s="19" t="e">
        <f>IF(I49&lt;&gt;"",VLOOKUP(I49,$A$1:$B$130,2,FALSE),0)</f>
        <v>#N/A</v>
      </c>
      <c r="K49" s="20" t="e">
        <f>SUM(J49:J58)</f>
        <v>#N/A</v>
      </c>
      <c r="M49" s="3">
        <f>표!Y36</f>
        <v>0</v>
      </c>
      <c r="N49" s="4" t="str">
        <f>TRIM(MID(SUBSTITUTE($M$49,"+",REPT(" ",LEN($M$49))),(ROW()-ROW($N$49)+1)*LEN($M$49),LEN($M$49)))</f>
        <v>0</v>
      </c>
      <c r="O49" s="19" t="e">
        <f>IF(N49&lt;&gt;"",VLOOKUP(N49,$A$1:$B$130,2,FALSE),0)</f>
        <v>#N/A</v>
      </c>
      <c r="P49" s="20" t="e">
        <f>SUM(O49:O58)</f>
        <v>#N/A</v>
      </c>
      <c r="R49" s="3">
        <f>표!Y37</f>
        <v>0</v>
      </c>
      <c r="S49" s="4" t="str">
        <f>TRIM(MID(SUBSTITUTE($R$49,"+",REPT(" ",LEN($R$49))),(ROW()-ROW($S$49)+1)*LEN($R$49),LEN($R$49)))</f>
        <v>0</v>
      </c>
      <c r="T49" s="19" t="e">
        <f>IF(S49&lt;&gt;"",VLOOKUP(S49,$A$1:$B$130,2,FALSE),0)</f>
        <v>#N/A</v>
      </c>
      <c r="U49" s="20" t="e">
        <f>SUM(T49:T58)</f>
        <v>#N/A</v>
      </c>
      <c r="W49" s="3">
        <f>표!Y38</f>
        <v>0</v>
      </c>
      <c r="X49" s="4" t="str">
        <f>TRIM(MID(SUBSTITUTE($W$49,"+",REPT(" ",LEN($W$49))),(ROW()-ROW($X$49)+1)*LEN($W$49),LEN($W$49)))</f>
        <v>0</v>
      </c>
      <c r="Y49" s="19" t="e">
        <f>IF(X49&lt;&gt;"",VLOOKUP(X49,$A$1:$B$130,2,FALSE),0)</f>
        <v>#N/A</v>
      </c>
      <c r="Z49" s="20" t="e">
        <f>SUM(Y49:Y58)</f>
        <v>#N/A</v>
      </c>
      <c r="AB49" s="3">
        <f>표!Y39</f>
        <v>0</v>
      </c>
      <c r="AC49" s="4" t="str">
        <f>TRIM(MID(SUBSTITUTE($AB$49,"+",REPT(" ",LEN($AB$49))),(ROW()-ROW($AC$49)+1)*LEN($AB$49),LEN($AB$49)))</f>
        <v>0</v>
      </c>
      <c r="AD49" s="19" t="e">
        <f>IF(AC49&lt;&gt;"",VLOOKUP(AC49,$A$1:$B$130,2,FALSE),0)</f>
        <v>#N/A</v>
      </c>
      <c r="AE49" s="20" t="e">
        <f>SUM(AD49:AD58)</f>
        <v>#N/A</v>
      </c>
      <c r="AG49" s="3">
        <f>표!Y40</f>
        <v>0</v>
      </c>
      <c r="AH49" s="4" t="str">
        <f>TRIM(MID(SUBSTITUTE($AG$49,"+",REPT(" ",LEN($AG$49))),(ROW()-ROW($AH$49)+1)*LEN($AG$49),LEN($AG$49)))</f>
        <v>0</v>
      </c>
      <c r="AI49" s="19" t="e">
        <f>IF(AH49&lt;&gt;"",VLOOKUP(AH49,$A$1:$B$130,2,FALSE),0)</f>
        <v>#N/A</v>
      </c>
      <c r="AJ49" s="20" t="e">
        <f>SUM(AI49:AI58)</f>
        <v>#N/A</v>
      </c>
    </row>
    <row r="50" spans="3:36" ht="17.500000">
      <c r="D50" s="4" t="str">
        <f>TRIM(MID(SUBSTITUTE($C$49,"+",REPT(" ",LEN($C$49))),(ROW()-ROW($D$49)+1)*LEN($C$49),LEN($C$49)))</f>
        <v/>
      </c>
      <c r="E50" s="19">
        <f>IF(D50&lt;&gt;"",VLOOKUP(D50,$A$1:$B$130,2,FALSE),0)</f>
        <v>0</v>
      </c>
      <c r="I50" s="4" t="str">
        <f>TRIM(MID(SUBSTITUTE($H$49,"+",REPT(" ",LEN($H$49))),(ROW()-ROW($I$49)+1)*LEN($H$49),LEN($H$49)))</f>
        <v/>
      </c>
      <c r="J50" s="19">
        <f>IF(I50&lt;&gt;"",VLOOKUP(I50,$A$1:$B$130,2,FALSE),0)</f>
        <v>0</v>
      </c>
      <c r="N50" s="4" t="str">
        <f>TRIM(MID(SUBSTITUTE($M$49,"+",REPT(" ",LEN($M$49))),(ROW()-ROW($N$49)+1)*LEN($M$49),LEN($M$49)))</f>
        <v/>
      </c>
      <c r="O50" s="19">
        <f>IF(N50&lt;&gt;"",VLOOKUP(N50,$A$1:$B$130,2,FALSE),0)</f>
        <v>0</v>
      </c>
      <c r="S50" s="4" t="str">
        <f>TRIM(MID(SUBSTITUTE($R$49,"+",REPT(" ",LEN($R$49))),(ROW()-ROW($S$49)+1)*LEN($R$49),LEN($R$49)))</f>
        <v/>
      </c>
      <c r="T50" s="19">
        <f>IF(S50&lt;&gt;"",VLOOKUP(S50,$A$1:$B$130,2,FALSE),0)</f>
        <v>0</v>
      </c>
      <c r="X50" s="4" t="str">
        <f>TRIM(MID(SUBSTITUTE($W$49,"+",REPT(" ",LEN($W$49))),(ROW()-ROW($X$49)+1)*LEN($W$49),LEN($W$49)))</f>
        <v/>
      </c>
      <c r="Y50" s="19">
        <f>IF(X50&lt;&gt;"",VLOOKUP(X50,$A$1:$B$130,2,FALSE),0)</f>
        <v>0</v>
      </c>
      <c r="AC50" s="4" t="str">
        <f>TRIM(MID(SUBSTITUTE($AB$49,"+",REPT(" ",LEN($AB$49))),(ROW()-ROW($AC$49)+1)*LEN($AB$49),LEN($AB$49)))</f>
        <v/>
      </c>
      <c r="AD50" s="19">
        <f>IF(AC50&lt;&gt;"",VLOOKUP(AC50,$A$1:$B$130,2,FALSE),0)</f>
        <v>0</v>
      </c>
      <c r="AH50" s="4" t="str">
        <f>TRIM(MID(SUBSTITUTE($AG$49,"+",REPT(" ",LEN($AG$49))),(ROW()-ROW($AH$49)+1)*LEN($AG$49),LEN($AG$49)))</f>
        <v/>
      </c>
      <c r="AI50" s="19">
        <f>IF(AH50&lt;&gt;"",VLOOKUP(AH50,$A$1:$B$130,2,FALSE),0)</f>
        <v>0</v>
      </c>
    </row>
    <row r="51" spans="3:36" ht="17.500000">
      <c r="D51" s="4" t="str">
        <f>TRIM(MID(SUBSTITUTE($C$49,"+",REPT(" ",LEN($C$49))),(ROW()-ROW($D$49)+1)*LEN($C$49),LEN($C$49)))</f>
        <v/>
      </c>
      <c r="E51" s="19">
        <f>IF(D51&lt;&gt;"",VLOOKUP(D51,$A$1:$B$130,2,FALSE),0)</f>
        <v>0</v>
      </c>
      <c r="I51" s="4" t="str">
        <f>TRIM(MID(SUBSTITUTE($H$49,"+",REPT(" ",LEN($H$49))),(ROW()-ROW($I$49)+1)*LEN($H$49),LEN($H$49)))</f>
        <v/>
      </c>
      <c r="J51" s="19">
        <f>IF(I51&lt;&gt;"",VLOOKUP(I51,$A$1:$B$130,2,FALSE),0)</f>
        <v>0</v>
      </c>
      <c r="N51" s="4" t="str">
        <f>TRIM(MID(SUBSTITUTE($M$49,"+",REPT(" ",LEN($M$49))),(ROW()-ROW($N$49)+1)*LEN($M$49),LEN($M$49)))</f>
        <v/>
      </c>
      <c r="O51" s="19">
        <f>IF(N51&lt;&gt;"",VLOOKUP(N51,$A$1:$B$130,2,FALSE),0)</f>
        <v>0</v>
      </c>
      <c r="S51" s="4" t="str">
        <f>TRIM(MID(SUBSTITUTE($R$49,"+",REPT(" ",LEN($R$49))),(ROW()-ROW($S$49)+1)*LEN($R$49),LEN($R$49)))</f>
        <v/>
      </c>
      <c r="T51" s="19">
        <f>IF(S51&lt;&gt;"",VLOOKUP(S51,$A$1:$B$130,2,FALSE),0)</f>
        <v>0</v>
      </c>
      <c r="X51" s="4" t="str">
        <f>TRIM(MID(SUBSTITUTE($W$49,"+",REPT(" ",LEN($W$49))),(ROW()-ROW($X$49)+1)*LEN($W$49),LEN($W$49)))</f>
        <v/>
      </c>
      <c r="Y51" s="19">
        <f>IF(X51&lt;&gt;"",VLOOKUP(X51,$A$1:$B$130,2,FALSE),0)</f>
        <v>0</v>
      </c>
      <c r="AC51" s="4" t="str">
        <f>TRIM(MID(SUBSTITUTE($AB$49,"+",REPT(" ",LEN($AB$49))),(ROW()-ROW($AC$49)+1)*LEN($AB$49),LEN($AB$49)))</f>
        <v/>
      </c>
      <c r="AD51" s="19">
        <f>IF(AC51&lt;&gt;"",VLOOKUP(AC51,$A$1:$B$130,2,FALSE),0)</f>
        <v>0</v>
      </c>
      <c r="AH51" s="4" t="str">
        <f>TRIM(MID(SUBSTITUTE($AG$49,"+",REPT(" ",LEN($AG$49))),(ROW()-ROW($AH$49)+1)*LEN($AG$49),LEN($AG$49)))</f>
        <v/>
      </c>
      <c r="AI51" s="19">
        <f>IF(AH51&lt;&gt;"",VLOOKUP(AH51,$A$1:$B$130,2,FALSE),0)</f>
        <v>0</v>
      </c>
    </row>
    <row r="52" spans="3:36" ht="17.500000">
      <c r="D52" s="4" t="str">
        <f>TRIM(MID(SUBSTITUTE($C$49,"+",REPT(" ",LEN($C$49))),(ROW()-ROW($D$49)+1)*LEN($C$49),LEN($C$49)))</f>
        <v/>
      </c>
      <c r="E52" s="19">
        <f>IF(D52&lt;&gt;"",VLOOKUP(D52,$A$1:$B$130,2,FALSE),0)</f>
        <v>0</v>
      </c>
      <c r="I52" s="4" t="str">
        <f>TRIM(MID(SUBSTITUTE($H$49,"+",REPT(" ",LEN($H$49))),(ROW()-ROW($I$49)+1)*LEN($H$49),LEN($H$49)))</f>
        <v/>
      </c>
      <c r="J52" s="19">
        <f>IF(I52&lt;&gt;"",VLOOKUP(I52,$A$1:$B$130,2,FALSE),0)</f>
        <v>0</v>
      </c>
      <c r="N52" s="4" t="str">
        <f>TRIM(MID(SUBSTITUTE($M$49,"+",REPT(" ",LEN($M$49))),(ROW()-ROW($N$49)+1)*LEN($M$49),LEN($M$49)))</f>
        <v/>
      </c>
      <c r="O52" s="19">
        <f>IF(N52&lt;&gt;"",VLOOKUP(N52,$A$1:$B$130,2,FALSE),0)</f>
        <v>0</v>
      </c>
      <c r="S52" s="4" t="str">
        <f>TRIM(MID(SUBSTITUTE($R$49,"+",REPT(" ",LEN($R$49))),(ROW()-ROW($S$49)+1)*LEN($R$49),LEN($R$49)))</f>
        <v/>
      </c>
      <c r="T52" s="19">
        <f>IF(S52&lt;&gt;"",VLOOKUP(S52,$A$1:$B$130,2,FALSE),0)</f>
        <v>0</v>
      </c>
      <c r="X52" s="4" t="str">
        <f>TRIM(MID(SUBSTITUTE($W$49,"+",REPT(" ",LEN($W$49))),(ROW()-ROW($X$49)+1)*LEN($W$49),LEN($W$49)))</f>
        <v/>
      </c>
      <c r="Y52" s="19">
        <f>IF(X52&lt;&gt;"",VLOOKUP(X52,$A$1:$B$130,2,FALSE),0)</f>
        <v>0</v>
      </c>
      <c r="AC52" s="4" t="str">
        <f>TRIM(MID(SUBSTITUTE($AB$49,"+",REPT(" ",LEN($AB$49))),(ROW()-ROW($AC$49)+1)*LEN($AB$49),LEN($AB$49)))</f>
        <v/>
      </c>
      <c r="AD52" s="19">
        <f>IF(AC52&lt;&gt;"",VLOOKUP(AC52,$A$1:$B$130,2,FALSE),0)</f>
        <v>0</v>
      </c>
      <c r="AH52" s="4" t="str">
        <f>TRIM(MID(SUBSTITUTE($AG$49,"+",REPT(" ",LEN($AG$49))),(ROW()-ROW($AH$49)+1)*LEN($AG$49),LEN($AG$49)))</f>
        <v/>
      </c>
      <c r="AI52" s="19">
        <f>IF(AH52&lt;&gt;"",VLOOKUP(AH52,$A$1:$B$130,2,FALSE),0)</f>
        <v>0</v>
      </c>
    </row>
    <row r="53" spans="3:36" ht="17.500000">
      <c r="D53" s="4" t="str">
        <f>TRIM(MID(SUBSTITUTE($C$49,"+",REPT(" ",LEN($C$49))),(ROW()-ROW($D$49)+1)*LEN($C$49),LEN($C$49)))</f>
        <v/>
      </c>
      <c r="E53" s="19">
        <f>IF(D53&lt;&gt;"",VLOOKUP(D53,$A$1:$B$130,2,FALSE),0)</f>
        <v>0</v>
      </c>
      <c r="I53" s="4" t="str">
        <f>TRIM(MID(SUBSTITUTE($H$49,"+",REPT(" ",LEN($H$49))),(ROW()-ROW($I$49)+1)*LEN($H$49),LEN($H$49)))</f>
        <v/>
      </c>
      <c r="J53" s="19">
        <f>IF(I53&lt;&gt;"",VLOOKUP(I53,$A$1:$B$130,2,FALSE),0)</f>
        <v>0</v>
      </c>
      <c r="N53" s="4" t="str">
        <f>TRIM(MID(SUBSTITUTE($M$49,"+",REPT(" ",LEN($M$49))),(ROW()-ROW($N$49)+1)*LEN($M$49),LEN($M$49)))</f>
        <v/>
      </c>
      <c r="O53" s="19">
        <f>IF(N53&lt;&gt;"",VLOOKUP(N53,$A$1:$B$130,2,FALSE),0)</f>
        <v>0</v>
      </c>
      <c r="S53" s="4" t="str">
        <f>TRIM(MID(SUBSTITUTE($R$49,"+",REPT(" ",LEN($R$49))),(ROW()-ROW($S$49)+1)*LEN($R$49),LEN($R$49)))</f>
        <v/>
      </c>
      <c r="T53" s="19">
        <f>IF(S53&lt;&gt;"",VLOOKUP(S53,$A$1:$B$130,2,FALSE),0)</f>
        <v>0</v>
      </c>
      <c r="X53" s="4" t="str">
        <f>TRIM(MID(SUBSTITUTE($W$49,"+",REPT(" ",LEN($W$49))),(ROW()-ROW($X$49)+1)*LEN($W$49),LEN($W$49)))</f>
        <v/>
      </c>
      <c r="Y53" s="19">
        <f>IF(X53&lt;&gt;"",VLOOKUP(X53,$A$1:$B$130,2,FALSE),0)</f>
        <v>0</v>
      </c>
      <c r="AC53" s="4" t="str">
        <f>TRIM(MID(SUBSTITUTE($AB$49,"+",REPT(" ",LEN($AB$49))),(ROW()-ROW($AC$49)+1)*LEN($AB$49),LEN($AB$49)))</f>
        <v/>
      </c>
      <c r="AD53" s="19">
        <f>IF(AC53&lt;&gt;"",VLOOKUP(AC53,$A$1:$B$130,2,FALSE),0)</f>
        <v>0</v>
      </c>
      <c r="AH53" s="4" t="str">
        <f>TRIM(MID(SUBSTITUTE($AG$49,"+",REPT(" ",LEN($AG$49))),(ROW()-ROW($AH$49)+1)*LEN($AG$49),LEN($AG$49)))</f>
        <v/>
      </c>
      <c r="AI53" s="19">
        <f>IF(AH53&lt;&gt;"",VLOOKUP(AH53,$A$1:$B$130,2,FALSE),0)</f>
        <v>0</v>
      </c>
    </row>
    <row r="54" spans="3:36" ht="17.500000">
      <c r="D54" s="4" t="str">
        <f>TRIM(MID(SUBSTITUTE($C$49,"+",REPT(" ",LEN($C$49))),(ROW()-ROW($D$49)+1)*LEN($C$49),LEN($C$49)))</f>
        <v/>
      </c>
      <c r="E54" s="19">
        <f>IF(D54&lt;&gt;"",VLOOKUP(D54,$A$1:$B$130,2,FALSE),0)</f>
        <v>0</v>
      </c>
      <c r="I54" s="4" t="str">
        <f>TRIM(MID(SUBSTITUTE($H$49,"+",REPT(" ",LEN($H$49))),(ROW()-ROW($I$49)+1)*LEN($H$49),LEN($H$49)))</f>
        <v/>
      </c>
      <c r="J54" s="19">
        <f>IF(I54&lt;&gt;"",VLOOKUP(I54,$A$1:$B$130,2,FALSE),0)</f>
        <v>0</v>
      </c>
      <c r="N54" s="4" t="str">
        <f>TRIM(MID(SUBSTITUTE($M$49,"+",REPT(" ",LEN($M$49))),(ROW()-ROW($N$49)+1)*LEN($M$49),LEN($M$49)))</f>
        <v/>
      </c>
      <c r="O54" s="19">
        <f>IF(N54&lt;&gt;"",VLOOKUP(N54,$A$1:$B$130,2,FALSE),0)</f>
        <v>0</v>
      </c>
      <c r="S54" s="4" t="str">
        <f>TRIM(MID(SUBSTITUTE($R$49,"+",REPT(" ",LEN($R$49))),(ROW()-ROW($S$49)+1)*LEN($R$49),LEN($R$49)))</f>
        <v/>
      </c>
      <c r="T54" s="19">
        <f>IF(S54&lt;&gt;"",VLOOKUP(S54,$A$1:$B$130,2,FALSE),0)</f>
        <v>0</v>
      </c>
      <c r="X54" s="4" t="str">
        <f>TRIM(MID(SUBSTITUTE($W$49,"+",REPT(" ",LEN($W$49))),(ROW()-ROW($X$49)+1)*LEN($W$49),LEN($W$49)))</f>
        <v/>
      </c>
      <c r="Y54" s="19">
        <f>IF(X54&lt;&gt;"",VLOOKUP(X54,$A$1:$B$130,2,FALSE),0)</f>
        <v>0</v>
      </c>
      <c r="AC54" s="4" t="str">
        <f>TRIM(MID(SUBSTITUTE($AB$49,"+",REPT(" ",LEN($AB$49))),(ROW()-ROW($AC$49)+1)*LEN($AB$49),LEN($AB$49)))</f>
        <v/>
      </c>
      <c r="AD54" s="19">
        <f>IF(AC54&lt;&gt;"",VLOOKUP(AC54,$A$1:$B$130,2,FALSE),0)</f>
        <v>0</v>
      </c>
      <c r="AH54" s="4" t="str">
        <f>TRIM(MID(SUBSTITUTE($AG$49,"+",REPT(" ",LEN($AG$49))),(ROW()-ROW($AH$49)+1)*LEN($AG$49),LEN($AG$49)))</f>
        <v/>
      </c>
      <c r="AI54" s="19">
        <f>IF(AH54&lt;&gt;"",VLOOKUP(AH54,$A$1:$B$130,2,FALSE),0)</f>
        <v>0</v>
      </c>
    </row>
    <row r="55" spans="3:36" ht="17.500000">
      <c r="D55" s="4" t="str">
        <f>TRIM(MID(SUBSTITUTE($C$49,"+",REPT(" ",LEN($C$49))),(ROW()-ROW($D$49)+1)*LEN($C$49),LEN($C$49)))</f>
        <v/>
      </c>
      <c r="E55" s="19">
        <f>IF(D55&lt;&gt;"",VLOOKUP(D55,$A$1:$B$130,2,FALSE),0)</f>
        <v>0</v>
      </c>
      <c r="I55" s="4" t="str">
        <f>TRIM(MID(SUBSTITUTE($H$49,"+",REPT(" ",LEN($H$49))),(ROW()-ROW($I$49)+1)*LEN($H$49),LEN($H$49)))</f>
        <v/>
      </c>
      <c r="J55" s="19">
        <f>IF(I55&lt;&gt;"",VLOOKUP(I55,$A$1:$B$130,2,FALSE),0)</f>
        <v>0</v>
      </c>
      <c r="N55" s="4" t="str">
        <f>TRIM(MID(SUBSTITUTE($M$49,"+",REPT(" ",LEN($M$49))),(ROW()-ROW($N$49)+1)*LEN($M$49),LEN($M$49)))</f>
        <v/>
      </c>
      <c r="O55" s="19">
        <f>IF(N55&lt;&gt;"",VLOOKUP(N55,$A$1:$B$130,2,FALSE),0)</f>
        <v>0</v>
      </c>
      <c r="S55" s="4" t="str">
        <f>TRIM(MID(SUBSTITUTE($R$49,"+",REPT(" ",LEN($R$49))),(ROW()-ROW($S$49)+1)*LEN($R$49),LEN($R$49)))</f>
        <v/>
      </c>
      <c r="T55" s="19">
        <f>IF(S55&lt;&gt;"",VLOOKUP(S55,$A$1:$B$130,2,FALSE),0)</f>
        <v>0</v>
      </c>
      <c r="X55" s="4" t="str">
        <f>TRIM(MID(SUBSTITUTE($W$49,"+",REPT(" ",LEN($W$49))),(ROW()-ROW($X$49)+1)*LEN($W$49),LEN($W$49)))</f>
        <v/>
      </c>
      <c r="Y55" s="19">
        <f>IF(X55&lt;&gt;"",VLOOKUP(X55,$A$1:$B$130,2,FALSE),0)</f>
        <v>0</v>
      </c>
      <c r="AC55" s="4" t="str">
        <f>TRIM(MID(SUBSTITUTE($AB$49,"+",REPT(" ",LEN($AB$49))),(ROW()-ROW($AC$49)+1)*LEN($AB$49),LEN($AB$49)))</f>
        <v/>
      </c>
      <c r="AD55" s="19">
        <f>IF(AC55&lt;&gt;"",VLOOKUP(AC55,$A$1:$B$130,2,FALSE),0)</f>
        <v>0</v>
      </c>
      <c r="AH55" s="4" t="str">
        <f>TRIM(MID(SUBSTITUTE($AG$49,"+",REPT(" ",LEN($AG$49))),(ROW()-ROW($AH$49)+1)*LEN($AG$49),LEN($AG$49)))</f>
        <v/>
      </c>
      <c r="AI55" s="19">
        <f>IF(AH55&lt;&gt;"",VLOOKUP(AH55,$A$1:$B$130,2,FALSE),0)</f>
        <v>0</v>
      </c>
    </row>
    <row r="56" spans="3:36" ht="17.500000">
      <c r="D56" s="4" t="str">
        <f>TRIM(MID(SUBSTITUTE($C$49,"+",REPT(" ",LEN($C$49))),(ROW()-ROW($D$49)+1)*LEN($C$49),LEN($C$49)))</f>
        <v/>
      </c>
      <c r="E56" s="19">
        <f>IF(D56&lt;&gt;"",VLOOKUP(D56,$A$1:$B$130,2,FALSE),0)</f>
        <v>0</v>
      </c>
      <c r="I56" s="4" t="str">
        <f>TRIM(MID(SUBSTITUTE($H$49,"+",REPT(" ",LEN($H$49))),(ROW()-ROW($I$49)+1)*LEN($H$49),LEN($H$49)))</f>
        <v/>
      </c>
      <c r="J56" s="19">
        <f>IF(I56&lt;&gt;"",VLOOKUP(I56,$A$1:$B$130,2,FALSE),0)</f>
        <v>0</v>
      </c>
      <c r="N56" s="4" t="str">
        <f>TRIM(MID(SUBSTITUTE($M$49,"+",REPT(" ",LEN($M$49))),(ROW()-ROW($N$49)+1)*LEN($M$49),LEN($M$49)))</f>
        <v/>
      </c>
      <c r="O56" s="19">
        <f>IF(N56&lt;&gt;"",VLOOKUP(N56,$A$1:$B$130,2,FALSE),0)</f>
        <v>0</v>
      </c>
      <c r="S56" s="4" t="str">
        <f>TRIM(MID(SUBSTITUTE($R$49,"+",REPT(" ",LEN($R$49))),(ROW()-ROW($S$49)+1)*LEN($R$49),LEN($R$49)))</f>
        <v/>
      </c>
      <c r="T56" s="19">
        <f>IF(S56&lt;&gt;"",VLOOKUP(S56,$A$1:$B$130,2,FALSE),0)</f>
        <v>0</v>
      </c>
      <c r="X56" s="4" t="str">
        <f>TRIM(MID(SUBSTITUTE($W$49,"+",REPT(" ",LEN($W$49))),(ROW()-ROW($X$49)+1)*LEN($W$49),LEN($W$49)))</f>
        <v/>
      </c>
      <c r="Y56" s="19">
        <f>IF(X56&lt;&gt;"",VLOOKUP(X56,$A$1:$B$130,2,FALSE),0)</f>
        <v>0</v>
      </c>
      <c r="AC56" s="4" t="str">
        <f>TRIM(MID(SUBSTITUTE($AB$49,"+",REPT(" ",LEN($AB$49))),(ROW()-ROW($AC$49)+1)*LEN($AB$49),LEN($AB$49)))</f>
        <v/>
      </c>
      <c r="AD56" s="19">
        <f>IF(AC56&lt;&gt;"",VLOOKUP(AC56,$A$1:$B$130,2,FALSE),0)</f>
        <v>0</v>
      </c>
      <c r="AH56" s="4" t="str">
        <f>TRIM(MID(SUBSTITUTE($AG$49,"+",REPT(" ",LEN($AG$49))),(ROW()-ROW($AH$49)+1)*LEN($AG$49),LEN($AG$49)))</f>
        <v/>
      </c>
      <c r="AI56" s="19">
        <f>IF(AH56&lt;&gt;"",VLOOKUP(AH56,$A$1:$B$130,2,FALSE),0)</f>
        <v>0</v>
      </c>
    </row>
    <row r="57" spans="3:36" ht="17.500000">
      <c r="D57" s="4" t="str">
        <f>TRIM(MID(SUBSTITUTE($C$49,"+",REPT(" ",LEN($C$49))),(ROW()-ROW($D$49)+1)*LEN($C$49),LEN($C$49)))</f>
        <v/>
      </c>
      <c r="E57" s="19">
        <f>IF(D57&lt;&gt;"",VLOOKUP(D57,$A$1:$B$130,2,FALSE),0)</f>
        <v>0</v>
      </c>
      <c r="I57" s="4" t="str">
        <f>TRIM(MID(SUBSTITUTE($H$49,"+",REPT(" ",LEN($H$49))),(ROW()-ROW($I$49)+1)*LEN($H$49),LEN($H$49)))</f>
        <v/>
      </c>
      <c r="J57" s="19">
        <f>IF(I57&lt;&gt;"",VLOOKUP(I57,$A$1:$B$130,2,FALSE),0)</f>
        <v>0</v>
      </c>
      <c r="N57" s="4" t="str">
        <f>TRIM(MID(SUBSTITUTE($M$49,"+",REPT(" ",LEN($M$49))),(ROW()-ROW($N$49)+1)*LEN($M$49),LEN($M$49)))</f>
        <v/>
      </c>
      <c r="O57" s="19">
        <f>IF(N57&lt;&gt;"",VLOOKUP(N57,$A$1:$B$130,2,FALSE),0)</f>
        <v>0</v>
      </c>
      <c r="S57" s="4" t="str">
        <f>TRIM(MID(SUBSTITUTE($R$49,"+",REPT(" ",LEN($R$49))),(ROW()-ROW($S$49)+1)*LEN($R$49),LEN($R$49)))</f>
        <v/>
      </c>
      <c r="T57" s="19">
        <f>IF(S57&lt;&gt;"",VLOOKUP(S57,$A$1:$B$130,2,FALSE),0)</f>
        <v>0</v>
      </c>
      <c r="X57" s="4" t="str">
        <f>TRIM(MID(SUBSTITUTE($W$49,"+",REPT(" ",LEN($W$49))),(ROW()-ROW($X$49)+1)*LEN($W$49),LEN($W$49)))</f>
        <v/>
      </c>
      <c r="Y57" s="19">
        <f>IF(X57&lt;&gt;"",VLOOKUP(X57,$A$1:$B$130,2,FALSE),0)</f>
        <v>0</v>
      </c>
      <c r="AC57" s="4" t="str">
        <f>TRIM(MID(SUBSTITUTE($AB$49,"+",REPT(" ",LEN($AB$49))),(ROW()-ROW($AC$49)+1)*LEN($AB$49),LEN($AB$49)))</f>
        <v/>
      </c>
      <c r="AD57" s="19">
        <f>IF(AC57&lt;&gt;"",VLOOKUP(AC57,$A$1:$B$130,2,FALSE),0)</f>
        <v>0</v>
      </c>
      <c r="AH57" s="4" t="str">
        <f>TRIM(MID(SUBSTITUTE($AG$49,"+",REPT(" ",LEN($AG$49))),(ROW()-ROW($AH$49)+1)*LEN($AG$49),LEN($AG$49)))</f>
        <v/>
      </c>
      <c r="AI57" s="19">
        <f>IF(AH57&lt;&gt;"",VLOOKUP(AH57,$A$1:$B$130,2,FALSE),0)</f>
        <v>0</v>
      </c>
    </row>
    <row r="58" spans="3:36">
      <c r="D58" s="4" t="str">
        <f>TRIM(MID(SUBSTITUTE($C$49,"+",REPT(" ",LEN($C$49))),(ROW()-ROW($D$49)+1)*LEN($C$49),LEN($C$49)))</f>
        <v/>
      </c>
      <c r="E58" s="19">
        <f>IF(D58&lt;&gt;"",VLOOKUP(D58,$A$1:$B$130,2,FALSE),0)</f>
        <v>0</v>
      </c>
      <c r="I58" s="4" t="str">
        <f>TRIM(MID(SUBSTITUTE($H$49,"+",REPT(" ",LEN($H$49))),(ROW()-ROW($I$49)+1)*LEN($H$49),LEN($H$49)))</f>
        <v/>
      </c>
      <c r="J58" s="19">
        <f>IF(I58&lt;&gt;"",VLOOKUP(I58,$A$1:$B$130,2,FALSE),0)</f>
        <v>0</v>
      </c>
      <c r="N58" s="4" t="str">
        <f>TRIM(MID(SUBSTITUTE($M$49,"+",REPT(" ",LEN($M$49))),(ROW()-ROW($N$49)+1)*LEN($M$49),LEN($M$49)))</f>
        <v/>
      </c>
      <c r="O58" s="19">
        <f>IF(N58&lt;&gt;"",VLOOKUP(N58,$A$1:$B$130,2,FALSE),0)</f>
        <v>0</v>
      </c>
      <c r="S58" s="4" t="str">
        <f>TRIM(MID(SUBSTITUTE($R$49,"+",REPT(" ",LEN($R$49))),(ROW()-ROW($S$49)+1)*LEN($R$49),LEN($R$49)))</f>
        <v/>
      </c>
      <c r="T58" s="19">
        <f>IF(S58&lt;&gt;"",VLOOKUP(S58,$A$1:$B$130,2,FALSE),0)</f>
        <v>0</v>
      </c>
      <c r="X58" s="4" t="str">
        <f>TRIM(MID(SUBSTITUTE($W$49,"+",REPT(" ",LEN($W$49))),(ROW()-ROW($X$49)+1)*LEN($W$49),LEN($W$49)))</f>
        <v/>
      </c>
      <c r="Y58" s="19">
        <f>IF(X58&lt;&gt;"",VLOOKUP(X58,$A$1:$B$130,2,FALSE),0)</f>
        <v>0</v>
      </c>
      <c r="AC58" s="4" t="str">
        <f>TRIM(MID(SUBSTITUTE($AB$49,"+",REPT(" ",LEN($AB$49))),(ROW()-ROW($AC$49)+1)*LEN($AB$49),LEN($AB$49)))</f>
        <v/>
      </c>
      <c r="AD58" s="19">
        <f>IF(AC58&lt;&gt;"",VLOOKUP(AC58,$A$1:$B$130,2,FALSE),0)</f>
        <v>0</v>
      </c>
      <c r="AH58" s="4" t="str">
        <f>TRIM(MID(SUBSTITUTE($AG$49,"+",REPT(" ",LEN($AG$49))),(ROW()-ROW($AH$49)+1)*LEN($AG$49),LEN($AG$49)))</f>
        <v/>
      </c>
      <c r="AI58" s="19">
        <f>IF(AH58&lt;&gt;"",VLOOKUP(AH58,$A$1:$B$130,2,FALSE),0)</f>
        <v>0</v>
      </c>
    </row>
    <row r="59" spans="3:36">
      <c r="C59" s="10">
        <v>30</v>
      </c>
      <c r="D59" s="102"/>
      <c r="E59" s="102"/>
      <c r="F59" s="103"/>
      <c r="H59" s="10">
        <v>31</v>
      </c>
      <c r="I59" s="102"/>
      <c r="J59" s="102"/>
      <c r="K59" s="103"/>
      <c r="M59" s="10">
        <v>32</v>
      </c>
      <c r="N59" s="102"/>
      <c r="O59" s="102"/>
      <c r="P59" s="103"/>
      <c r="R59" s="10">
        <v>33</v>
      </c>
      <c r="S59" s="102"/>
      <c r="T59" s="102"/>
      <c r="U59" s="103"/>
      <c r="W59" s="10">
        <v>34</v>
      </c>
      <c r="X59" s="102"/>
      <c r="Y59" s="102"/>
      <c r="Z59" s="103"/>
      <c r="AB59" s="10">
        <v>35</v>
      </c>
      <c r="AC59" s="102"/>
      <c r="AD59" s="102"/>
      <c r="AE59" s="103"/>
      <c r="AG59" s="10">
        <v>36</v>
      </c>
      <c r="AH59" s="102"/>
      <c r="AI59" s="102"/>
      <c r="AJ59" s="103"/>
    </row>
  </sheetData>
  <mergeCells count="36">
    <mergeCell ref="AW5:AX5"/>
    <mergeCell ref="C11:F11"/>
    <mergeCell ref="H11:K11"/>
    <mergeCell ref="M11:P11"/>
    <mergeCell ref="R11:U11"/>
    <mergeCell ref="W11:Z11"/>
    <mergeCell ref="AB11:AE11"/>
    <mergeCell ref="AG11:AJ11"/>
    <mergeCell ref="C23:F23"/>
    <mergeCell ref="H23:K23"/>
    <mergeCell ref="M23:P23"/>
    <mergeCell ref="R23:U23"/>
    <mergeCell ref="W23:Z23"/>
    <mergeCell ref="AB23:AE23"/>
    <mergeCell ref="AG23:AJ23"/>
    <mergeCell ref="C35:F35"/>
    <mergeCell ref="H35:K35"/>
    <mergeCell ref="M35:P35"/>
    <mergeCell ref="R35:U35"/>
    <mergeCell ref="W35:Z35"/>
    <mergeCell ref="AB35:AE35"/>
    <mergeCell ref="AG35:AJ35"/>
    <mergeCell ref="C47:F47"/>
    <mergeCell ref="H47:K47"/>
    <mergeCell ref="M47:P47"/>
    <mergeCell ref="R47:U47"/>
    <mergeCell ref="W47:Z47"/>
    <mergeCell ref="AB47:AE47"/>
    <mergeCell ref="AG47:AJ47"/>
    <mergeCell ref="C59:F59"/>
    <mergeCell ref="H59:K59"/>
    <mergeCell ref="M59:P59"/>
    <mergeCell ref="R59:U59"/>
    <mergeCell ref="W59:Z59"/>
    <mergeCell ref="AB59:AE59"/>
    <mergeCell ref="AG59:AJ59"/>
  </mergeCells>
  <phoneticPr fontId="1" type="noConversion"/>
  <conditionalFormatting sqref="AW6:AX10">
    <cfRule type="beginsWith" dxfId="4" priority="1" operator="beginsWith">
      <formula>LEFT(AW6,LEN("5."))="5."</formula>
    </cfRule>
    <cfRule type="beginsWith" dxfId="3" priority="2" operator="beginsWith">
      <formula>LEFT(AW6,LEN("4."))="4."</formula>
    </cfRule>
    <cfRule type="beginsWith" dxfId="2" priority="3" operator="beginsWith">
      <formula>LEFT(AW6,LEN("3."))="3."</formula>
    </cfRule>
    <cfRule type="beginsWith" dxfId="1" priority="4" operator="beginsWith">
      <formula>LEFT(AW6,LEN("2."))="2."</formula>
    </cfRule>
    <cfRule type="beginsWith" dxfId="0" priority="5" operator="beginsWith">
      <formula>LEFT(AW6,LEN("1."))="1."</formula>
    </cfRule>
  </conditionalFormatting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현석 이</dc:creator>
  <cp:lastModifiedBy>다 푸쵸</cp:lastModifiedBy>
  <cp:version>10.105.261.54955</cp:version>
  <dcterms:modified xsi:type="dcterms:W3CDTF">2025-02-22T04:57:55Z</dcterms:modified>
</cp:coreProperties>
</file>